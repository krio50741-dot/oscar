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93D1EC86-1457-4BB1-ACC8-55AD128986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1" r:id="rId1"/>
    <sheet name="Plan de Tareas" sheetId="2" r:id="rId2"/>
    <sheet name="Carta Gantt" sheetId="3" r:id="rId3"/>
    <sheet name="Configuracion" sheetId="4" r:id="rId4"/>
    <sheet name="Guia de Uso" sheetId="5" r:id="rId5"/>
    <sheet name="Procedimiento de Llenado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2" i="3" l="1"/>
  <c r="D102" i="3"/>
  <c r="C102" i="3"/>
  <c r="B102" i="3"/>
  <c r="A102" i="3"/>
  <c r="E101" i="3"/>
  <c r="D101" i="3"/>
  <c r="C101" i="3"/>
  <c r="B101" i="3"/>
  <c r="A101" i="3"/>
  <c r="E100" i="3"/>
  <c r="D100" i="3"/>
  <c r="C100" i="3"/>
  <c r="B100" i="3"/>
  <c r="A100" i="3"/>
  <c r="E99" i="3"/>
  <c r="D99" i="3"/>
  <c r="C99" i="3"/>
  <c r="B99" i="3"/>
  <c r="A99" i="3"/>
  <c r="E98" i="3"/>
  <c r="D98" i="3"/>
  <c r="C98" i="3"/>
  <c r="B98" i="3"/>
  <c r="A98" i="3"/>
  <c r="E97" i="3"/>
  <c r="D97" i="3"/>
  <c r="C97" i="3"/>
  <c r="B97" i="3"/>
  <c r="A97" i="3"/>
  <c r="E96" i="3"/>
  <c r="D96" i="3"/>
  <c r="C96" i="3"/>
  <c r="B96" i="3"/>
  <c r="A96" i="3"/>
  <c r="E95" i="3"/>
  <c r="D95" i="3"/>
  <c r="C95" i="3"/>
  <c r="B95" i="3"/>
  <c r="A95" i="3"/>
  <c r="E94" i="3"/>
  <c r="D94" i="3"/>
  <c r="C94" i="3"/>
  <c r="B94" i="3"/>
  <c r="A94" i="3"/>
  <c r="E93" i="3"/>
  <c r="D93" i="3"/>
  <c r="C93" i="3"/>
  <c r="B93" i="3"/>
  <c r="A93" i="3"/>
  <c r="E92" i="3"/>
  <c r="D92" i="3"/>
  <c r="C92" i="3"/>
  <c r="B92" i="3"/>
  <c r="A92" i="3"/>
  <c r="E91" i="3"/>
  <c r="D91" i="3"/>
  <c r="C91" i="3"/>
  <c r="B91" i="3"/>
  <c r="A91" i="3"/>
  <c r="E90" i="3"/>
  <c r="D90" i="3"/>
  <c r="C90" i="3"/>
  <c r="B90" i="3"/>
  <c r="A90" i="3"/>
  <c r="E89" i="3"/>
  <c r="D89" i="3"/>
  <c r="C89" i="3"/>
  <c r="B89" i="3"/>
  <c r="A89" i="3"/>
  <c r="E88" i="3"/>
  <c r="D88" i="3"/>
  <c r="C88" i="3"/>
  <c r="B88" i="3"/>
  <c r="A88" i="3"/>
  <c r="E87" i="3"/>
  <c r="D87" i="3"/>
  <c r="C87" i="3"/>
  <c r="B87" i="3"/>
  <c r="A87" i="3"/>
  <c r="E86" i="3"/>
  <c r="D86" i="3"/>
  <c r="C86" i="3"/>
  <c r="B86" i="3"/>
  <c r="A86" i="3"/>
  <c r="E85" i="3"/>
  <c r="D85" i="3"/>
  <c r="C85" i="3"/>
  <c r="B85" i="3"/>
  <c r="A85" i="3"/>
  <c r="E84" i="3"/>
  <c r="D84" i="3"/>
  <c r="C84" i="3"/>
  <c r="B84" i="3"/>
  <c r="A84" i="3"/>
  <c r="E83" i="3"/>
  <c r="D83" i="3"/>
  <c r="C83" i="3"/>
  <c r="B83" i="3"/>
  <c r="A83" i="3"/>
  <c r="E82" i="3"/>
  <c r="D82" i="3"/>
  <c r="C82" i="3"/>
  <c r="B82" i="3"/>
  <c r="A82" i="3"/>
  <c r="E81" i="3"/>
  <c r="D81" i="3"/>
  <c r="C81" i="3"/>
  <c r="B81" i="3"/>
  <c r="A81" i="3"/>
  <c r="E80" i="3"/>
  <c r="D80" i="3"/>
  <c r="C80" i="3"/>
  <c r="B80" i="3"/>
  <c r="A80" i="3"/>
  <c r="E79" i="3"/>
  <c r="D79" i="3"/>
  <c r="C79" i="3"/>
  <c r="B79" i="3"/>
  <c r="A79" i="3"/>
  <c r="E78" i="3"/>
  <c r="D78" i="3"/>
  <c r="C78" i="3"/>
  <c r="B78" i="3"/>
  <c r="A78" i="3"/>
  <c r="E77" i="3"/>
  <c r="D77" i="3"/>
  <c r="C77" i="3"/>
  <c r="B77" i="3"/>
  <c r="A77" i="3"/>
  <c r="E76" i="3"/>
  <c r="D76" i="3"/>
  <c r="C76" i="3"/>
  <c r="B76" i="3"/>
  <c r="A76" i="3"/>
  <c r="E75" i="3"/>
  <c r="D75" i="3"/>
  <c r="C75" i="3"/>
  <c r="B75" i="3"/>
  <c r="A75" i="3"/>
  <c r="E74" i="3"/>
  <c r="D74" i="3"/>
  <c r="C74" i="3"/>
  <c r="B74" i="3"/>
  <c r="A74" i="3"/>
  <c r="E73" i="3"/>
  <c r="D73" i="3"/>
  <c r="C73" i="3"/>
  <c r="B73" i="3"/>
  <c r="A73" i="3"/>
  <c r="E72" i="3"/>
  <c r="D72" i="3"/>
  <c r="C72" i="3"/>
  <c r="B72" i="3"/>
  <c r="A72" i="3"/>
  <c r="E71" i="3"/>
  <c r="D71" i="3"/>
  <c r="C71" i="3"/>
  <c r="B71" i="3"/>
  <c r="A71" i="3"/>
  <c r="E70" i="3"/>
  <c r="D70" i="3"/>
  <c r="C70" i="3"/>
  <c r="B70" i="3"/>
  <c r="A70" i="3"/>
  <c r="E69" i="3"/>
  <c r="D69" i="3"/>
  <c r="C69" i="3"/>
  <c r="B69" i="3"/>
  <c r="A69" i="3"/>
  <c r="E68" i="3"/>
  <c r="D68" i="3"/>
  <c r="C68" i="3"/>
  <c r="B68" i="3"/>
  <c r="A68" i="3"/>
  <c r="E67" i="3"/>
  <c r="D67" i="3"/>
  <c r="C67" i="3"/>
  <c r="B67" i="3"/>
  <c r="A67" i="3"/>
  <c r="E66" i="3"/>
  <c r="D66" i="3"/>
  <c r="C66" i="3"/>
  <c r="B66" i="3"/>
  <c r="A66" i="3"/>
  <c r="E65" i="3"/>
  <c r="D65" i="3"/>
  <c r="C65" i="3"/>
  <c r="B65" i="3"/>
  <c r="A65" i="3"/>
  <c r="E64" i="3"/>
  <c r="D64" i="3"/>
  <c r="C64" i="3"/>
  <c r="B64" i="3"/>
  <c r="A64" i="3"/>
  <c r="E63" i="3"/>
  <c r="D63" i="3"/>
  <c r="C63" i="3"/>
  <c r="B63" i="3"/>
  <c r="A63" i="3"/>
  <c r="E62" i="3"/>
  <c r="D62" i="3"/>
  <c r="C62" i="3"/>
  <c r="B62" i="3"/>
  <c r="A62" i="3"/>
  <c r="E61" i="3"/>
  <c r="D61" i="3"/>
  <c r="C61" i="3"/>
  <c r="B61" i="3"/>
  <c r="A61" i="3"/>
  <c r="E60" i="3"/>
  <c r="D60" i="3"/>
  <c r="C60" i="3"/>
  <c r="B60" i="3"/>
  <c r="A60" i="3"/>
  <c r="E59" i="3"/>
  <c r="D59" i="3"/>
  <c r="C59" i="3"/>
  <c r="B59" i="3"/>
  <c r="A59" i="3"/>
  <c r="E58" i="3"/>
  <c r="D58" i="3"/>
  <c r="C58" i="3"/>
  <c r="B58" i="3"/>
  <c r="A58" i="3"/>
  <c r="E57" i="3"/>
  <c r="D57" i="3"/>
  <c r="C57" i="3"/>
  <c r="B57" i="3"/>
  <c r="A57" i="3"/>
  <c r="E56" i="3"/>
  <c r="D56" i="3"/>
  <c r="C56" i="3"/>
  <c r="B56" i="3"/>
  <c r="A56" i="3"/>
  <c r="E55" i="3"/>
  <c r="D55" i="3"/>
  <c r="C55" i="3"/>
  <c r="B55" i="3"/>
  <c r="A55" i="3"/>
  <c r="E54" i="3"/>
  <c r="D54" i="3"/>
  <c r="C54" i="3"/>
  <c r="B54" i="3"/>
  <c r="A54" i="3"/>
  <c r="E53" i="3"/>
  <c r="D53" i="3"/>
  <c r="C53" i="3"/>
  <c r="B53" i="3"/>
  <c r="A53" i="3"/>
  <c r="E52" i="3"/>
  <c r="D52" i="3"/>
  <c r="C52" i="3"/>
  <c r="B52" i="3"/>
  <c r="A52" i="3"/>
  <c r="E51" i="3"/>
  <c r="D51" i="3"/>
  <c r="C51" i="3"/>
  <c r="B51" i="3"/>
  <c r="A51" i="3"/>
  <c r="E50" i="3"/>
  <c r="D50" i="3"/>
  <c r="C50" i="3"/>
  <c r="B50" i="3"/>
  <c r="A50" i="3"/>
  <c r="E49" i="3"/>
  <c r="D49" i="3"/>
  <c r="C49" i="3"/>
  <c r="B49" i="3"/>
  <c r="A49" i="3"/>
  <c r="E48" i="3"/>
  <c r="D48" i="3"/>
  <c r="C48" i="3"/>
  <c r="B48" i="3"/>
  <c r="A48" i="3"/>
  <c r="E47" i="3"/>
  <c r="D47" i="3"/>
  <c r="C47" i="3"/>
  <c r="B47" i="3"/>
  <c r="A47" i="3"/>
  <c r="E46" i="3"/>
  <c r="D46" i="3"/>
  <c r="C46" i="3"/>
  <c r="B46" i="3"/>
  <c r="A46" i="3"/>
  <c r="E45" i="3"/>
  <c r="D45" i="3"/>
  <c r="C45" i="3"/>
  <c r="B45" i="3"/>
  <c r="A45" i="3"/>
  <c r="E44" i="3"/>
  <c r="D44" i="3"/>
  <c r="C44" i="3"/>
  <c r="B44" i="3"/>
  <c r="A44" i="3"/>
  <c r="E43" i="3"/>
  <c r="D43" i="3"/>
  <c r="C43" i="3"/>
  <c r="B43" i="3"/>
  <c r="A43" i="3"/>
  <c r="E42" i="3"/>
  <c r="D42" i="3"/>
  <c r="C42" i="3"/>
  <c r="B42" i="3"/>
  <c r="A42" i="3"/>
  <c r="E41" i="3"/>
  <c r="D41" i="3"/>
  <c r="C41" i="3"/>
  <c r="B41" i="3"/>
  <c r="A41" i="3"/>
  <c r="E40" i="3"/>
  <c r="D40" i="3"/>
  <c r="C40" i="3"/>
  <c r="B40" i="3"/>
  <c r="A40" i="3"/>
  <c r="E39" i="3"/>
  <c r="D39" i="3"/>
  <c r="C39" i="3"/>
  <c r="B39" i="3"/>
  <c r="A39" i="3"/>
  <c r="E38" i="3"/>
  <c r="D38" i="3"/>
  <c r="C38" i="3"/>
  <c r="B38" i="3"/>
  <c r="A38" i="3"/>
  <c r="E37" i="3"/>
  <c r="D37" i="3"/>
  <c r="C37" i="3"/>
  <c r="B37" i="3"/>
  <c r="A37" i="3"/>
  <c r="E36" i="3"/>
  <c r="D36" i="3"/>
  <c r="C36" i="3"/>
  <c r="B36" i="3"/>
  <c r="A36" i="3"/>
  <c r="E35" i="3"/>
  <c r="D35" i="3"/>
  <c r="C35" i="3"/>
  <c r="B35" i="3"/>
  <c r="A35" i="3"/>
  <c r="E34" i="3"/>
  <c r="D34" i="3"/>
  <c r="C34" i="3"/>
  <c r="B34" i="3"/>
  <c r="A34" i="3"/>
  <c r="E33" i="3"/>
  <c r="D33" i="3"/>
  <c r="C33" i="3"/>
  <c r="B33" i="3"/>
  <c r="A33" i="3"/>
  <c r="E32" i="3"/>
  <c r="D32" i="3"/>
  <c r="C32" i="3"/>
  <c r="B32" i="3"/>
  <c r="A32" i="3"/>
  <c r="E31" i="3"/>
  <c r="D31" i="3"/>
  <c r="C31" i="3"/>
  <c r="B31" i="3"/>
  <c r="A31" i="3"/>
  <c r="E30" i="3"/>
  <c r="D30" i="3"/>
  <c r="C30" i="3"/>
  <c r="B30" i="3"/>
  <c r="A30" i="3"/>
  <c r="E29" i="3"/>
  <c r="D29" i="3"/>
  <c r="C29" i="3"/>
  <c r="B29" i="3"/>
  <c r="A29" i="3"/>
  <c r="E28" i="3"/>
  <c r="D28" i="3"/>
  <c r="C28" i="3"/>
  <c r="B28" i="3"/>
  <c r="A28" i="3"/>
  <c r="E27" i="3"/>
  <c r="D27" i="3"/>
  <c r="C27" i="3"/>
  <c r="B27" i="3"/>
  <c r="A27" i="3"/>
  <c r="E26" i="3"/>
  <c r="D26" i="3"/>
  <c r="C26" i="3"/>
  <c r="B26" i="3"/>
  <c r="A26" i="3"/>
  <c r="E25" i="3"/>
  <c r="D25" i="3"/>
  <c r="C25" i="3"/>
  <c r="B25" i="3"/>
  <c r="A25" i="3"/>
  <c r="E24" i="3"/>
  <c r="D24" i="3"/>
  <c r="C24" i="3"/>
  <c r="B24" i="3"/>
  <c r="A24" i="3"/>
  <c r="E23" i="3"/>
  <c r="D23" i="3"/>
  <c r="C23" i="3"/>
  <c r="B23" i="3"/>
  <c r="A23" i="3"/>
  <c r="E22" i="3"/>
  <c r="D22" i="3"/>
  <c r="C22" i="3"/>
  <c r="B22" i="3"/>
  <c r="A22" i="3"/>
  <c r="E21" i="3"/>
  <c r="D21" i="3"/>
  <c r="C21" i="3"/>
  <c r="B21" i="3"/>
  <c r="A21" i="3"/>
  <c r="E20" i="3"/>
  <c r="D20" i="3"/>
  <c r="C20" i="3"/>
  <c r="B20" i="3"/>
  <c r="A20" i="3"/>
  <c r="E19" i="3"/>
  <c r="D19" i="3"/>
  <c r="C19" i="3"/>
  <c r="B19" i="3"/>
  <c r="A19" i="3"/>
  <c r="E18" i="3"/>
  <c r="D18" i="3"/>
  <c r="C18" i="3"/>
  <c r="B18" i="3"/>
  <c r="A18" i="3"/>
  <c r="E17" i="3"/>
  <c r="D17" i="3"/>
  <c r="C17" i="3"/>
  <c r="B17" i="3"/>
  <c r="A17" i="3"/>
  <c r="E16" i="3"/>
  <c r="D16" i="3"/>
  <c r="C16" i="3"/>
  <c r="B16" i="3"/>
  <c r="A16" i="3"/>
  <c r="E15" i="3"/>
  <c r="D15" i="3"/>
  <c r="C15" i="3"/>
  <c r="B15" i="3"/>
  <c r="A15" i="3"/>
  <c r="E14" i="3"/>
  <c r="D14" i="3"/>
  <c r="C14" i="3"/>
  <c r="B14" i="3"/>
  <c r="A14" i="3"/>
  <c r="E13" i="3"/>
  <c r="D13" i="3"/>
  <c r="C13" i="3"/>
  <c r="B13" i="3"/>
  <c r="A13" i="3"/>
  <c r="E12" i="3"/>
  <c r="D12" i="3"/>
  <c r="C12" i="3"/>
  <c r="B12" i="3"/>
  <c r="A12" i="3"/>
  <c r="E11" i="3"/>
  <c r="D11" i="3"/>
  <c r="C11" i="3"/>
  <c r="B11" i="3"/>
  <c r="A11" i="3"/>
  <c r="E10" i="3"/>
  <c r="D10" i="3"/>
  <c r="C10" i="3"/>
  <c r="B10" i="3"/>
  <c r="A10" i="3"/>
  <c r="E9" i="3"/>
  <c r="D9" i="3"/>
  <c r="C9" i="3"/>
  <c r="B9" i="3"/>
  <c r="A9" i="3"/>
  <c r="E8" i="3"/>
  <c r="D8" i="3"/>
  <c r="C8" i="3"/>
  <c r="B8" i="3"/>
  <c r="A8" i="3"/>
  <c r="E7" i="3"/>
  <c r="D7" i="3"/>
  <c r="C7" i="3"/>
  <c r="B7" i="3"/>
  <c r="A7" i="3"/>
  <c r="E6" i="3"/>
  <c r="D6" i="3"/>
  <c r="C6" i="3"/>
  <c r="B6" i="3"/>
  <c r="A6" i="3"/>
  <c r="E5" i="3"/>
  <c r="D5" i="3"/>
  <c r="C5" i="3"/>
  <c r="B5" i="3"/>
  <c r="A5" i="3"/>
  <c r="E4" i="3"/>
  <c r="D4" i="3"/>
  <c r="C4" i="3"/>
  <c r="B4" i="3"/>
  <c r="A4" i="3"/>
  <c r="E3" i="3"/>
  <c r="D3" i="3"/>
  <c r="C3" i="3"/>
  <c r="B3" i="3"/>
  <c r="A3" i="3"/>
  <c r="Q301" i="2"/>
  <c r="P301" i="2"/>
  <c r="O301" i="2"/>
  <c r="N301" i="2"/>
  <c r="M301" i="2"/>
  <c r="L301" i="2"/>
  <c r="Q300" i="2"/>
  <c r="P300" i="2"/>
  <c r="O300" i="2"/>
  <c r="N300" i="2"/>
  <c r="M300" i="2"/>
  <c r="L300" i="2"/>
  <c r="Q299" i="2"/>
  <c r="P299" i="2"/>
  <c r="O299" i="2"/>
  <c r="N299" i="2"/>
  <c r="M299" i="2"/>
  <c r="L299" i="2"/>
  <c r="Q298" i="2"/>
  <c r="P298" i="2"/>
  <c r="O298" i="2"/>
  <c r="N298" i="2"/>
  <c r="M298" i="2"/>
  <c r="L298" i="2"/>
  <c r="Q297" i="2"/>
  <c r="P297" i="2"/>
  <c r="O297" i="2"/>
  <c r="N297" i="2"/>
  <c r="M297" i="2"/>
  <c r="L297" i="2"/>
  <c r="Q296" i="2"/>
  <c r="P296" i="2"/>
  <c r="O296" i="2"/>
  <c r="N296" i="2"/>
  <c r="M296" i="2"/>
  <c r="L296" i="2"/>
  <c r="Q295" i="2"/>
  <c r="P295" i="2"/>
  <c r="O295" i="2"/>
  <c r="N295" i="2"/>
  <c r="M295" i="2"/>
  <c r="L295" i="2"/>
  <c r="Q294" i="2"/>
  <c r="P294" i="2"/>
  <c r="O294" i="2"/>
  <c r="N294" i="2"/>
  <c r="M294" i="2"/>
  <c r="L294" i="2"/>
  <c r="Q293" i="2"/>
  <c r="P293" i="2"/>
  <c r="O293" i="2"/>
  <c r="N293" i="2"/>
  <c r="M293" i="2"/>
  <c r="L293" i="2"/>
  <c r="Q292" i="2"/>
  <c r="P292" i="2"/>
  <c r="O292" i="2"/>
  <c r="N292" i="2"/>
  <c r="M292" i="2"/>
  <c r="L292" i="2"/>
  <c r="Q291" i="2"/>
  <c r="P291" i="2"/>
  <c r="O291" i="2"/>
  <c r="N291" i="2"/>
  <c r="M291" i="2"/>
  <c r="L291" i="2"/>
  <c r="Q290" i="2"/>
  <c r="P290" i="2"/>
  <c r="O290" i="2"/>
  <c r="N290" i="2"/>
  <c r="M290" i="2"/>
  <c r="L290" i="2"/>
  <c r="Q289" i="2"/>
  <c r="P289" i="2"/>
  <c r="O289" i="2"/>
  <c r="N289" i="2"/>
  <c r="M289" i="2"/>
  <c r="L289" i="2"/>
  <c r="Q288" i="2"/>
  <c r="P288" i="2"/>
  <c r="O288" i="2"/>
  <c r="N288" i="2"/>
  <c r="M288" i="2"/>
  <c r="L288" i="2"/>
  <c r="Q287" i="2"/>
  <c r="P287" i="2"/>
  <c r="O287" i="2"/>
  <c r="N287" i="2"/>
  <c r="M287" i="2"/>
  <c r="L287" i="2"/>
  <c r="Q286" i="2"/>
  <c r="P286" i="2"/>
  <c r="O286" i="2"/>
  <c r="N286" i="2"/>
  <c r="M286" i="2"/>
  <c r="L286" i="2"/>
  <c r="Q285" i="2"/>
  <c r="P285" i="2"/>
  <c r="O285" i="2"/>
  <c r="N285" i="2"/>
  <c r="M285" i="2"/>
  <c r="L285" i="2"/>
  <c r="Q284" i="2"/>
  <c r="P284" i="2"/>
  <c r="O284" i="2"/>
  <c r="N284" i="2"/>
  <c r="M284" i="2"/>
  <c r="L284" i="2"/>
  <c r="Q283" i="2"/>
  <c r="P283" i="2"/>
  <c r="O283" i="2"/>
  <c r="N283" i="2"/>
  <c r="M283" i="2"/>
  <c r="L283" i="2"/>
  <c r="Q282" i="2"/>
  <c r="P282" i="2"/>
  <c r="O282" i="2"/>
  <c r="N282" i="2"/>
  <c r="M282" i="2"/>
  <c r="L282" i="2"/>
  <c r="Q281" i="2"/>
  <c r="P281" i="2"/>
  <c r="O281" i="2"/>
  <c r="N281" i="2"/>
  <c r="M281" i="2"/>
  <c r="L281" i="2"/>
  <c r="Q280" i="2"/>
  <c r="P280" i="2"/>
  <c r="O280" i="2"/>
  <c r="N280" i="2"/>
  <c r="M280" i="2"/>
  <c r="L280" i="2"/>
  <c r="Q279" i="2"/>
  <c r="P279" i="2"/>
  <c r="O279" i="2"/>
  <c r="N279" i="2"/>
  <c r="M279" i="2"/>
  <c r="L279" i="2"/>
  <c r="Q278" i="2"/>
  <c r="P278" i="2"/>
  <c r="O278" i="2"/>
  <c r="N278" i="2"/>
  <c r="M278" i="2"/>
  <c r="L278" i="2"/>
  <c r="Q277" i="2"/>
  <c r="P277" i="2"/>
  <c r="O277" i="2"/>
  <c r="N277" i="2"/>
  <c r="M277" i="2"/>
  <c r="L277" i="2"/>
  <c r="Q276" i="2"/>
  <c r="P276" i="2"/>
  <c r="O276" i="2"/>
  <c r="N276" i="2"/>
  <c r="M276" i="2"/>
  <c r="L276" i="2"/>
  <c r="Q275" i="2"/>
  <c r="P275" i="2"/>
  <c r="O275" i="2"/>
  <c r="N275" i="2"/>
  <c r="M275" i="2"/>
  <c r="L275" i="2"/>
  <c r="Q274" i="2"/>
  <c r="P274" i="2"/>
  <c r="O274" i="2"/>
  <c r="N274" i="2"/>
  <c r="M274" i="2"/>
  <c r="L274" i="2"/>
  <c r="Q273" i="2"/>
  <c r="P273" i="2"/>
  <c r="O273" i="2"/>
  <c r="N273" i="2"/>
  <c r="M273" i="2"/>
  <c r="L273" i="2"/>
  <c r="Q272" i="2"/>
  <c r="P272" i="2"/>
  <c r="O272" i="2"/>
  <c r="N272" i="2"/>
  <c r="M272" i="2"/>
  <c r="L272" i="2"/>
  <c r="Q271" i="2"/>
  <c r="P271" i="2"/>
  <c r="O271" i="2"/>
  <c r="N271" i="2"/>
  <c r="M271" i="2"/>
  <c r="L271" i="2"/>
  <c r="Q270" i="2"/>
  <c r="P270" i="2"/>
  <c r="O270" i="2"/>
  <c r="N270" i="2"/>
  <c r="M270" i="2"/>
  <c r="L270" i="2"/>
  <c r="Q269" i="2"/>
  <c r="P269" i="2"/>
  <c r="O269" i="2"/>
  <c r="N269" i="2"/>
  <c r="M269" i="2"/>
  <c r="L269" i="2"/>
  <c r="Q268" i="2"/>
  <c r="P268" i="2"/>
  <c r="O268" i="2"/>
  <c r="N268" i="2"/>
  <c r="M268" i="2"/>
  <c r="L268" i="2"/>
  <c r="Q267" i="2"/>
  <c r="P267" i="2"/>
  <c r="O267" i="2"/>
  <c r="N267" i="2"/>
  <c r="M267" i="2"/>
  <c r="L267" i="2"/>
  <c r="Q266" i="2"/>
  <c r="P266" i="2"/>
  <c r="O266" i="2"/>
  <c r="N266" i="2"/>
  <c r="M266" i="2"/>
  <c r="L266" i="2"/>
  <c r="Q265" i="2"/>
  <c r="P265" i="2"/>
  <c r="O265" i="2"/>
  <c r="N265" i="2"/>
  <c r="M265" i="2"/>
  <c r="L265" i="2"/>
  <c r="Q264" i="2"/>
  <c r="P264" i="2"/>
  <c r="O264" i="2"/>
  <c r="N264" i="2"/>
  <c r="M264" i="2"/>
  <c r="L264" i="2"/>
  <c r="Q263" i="2"/>
  <c r="P263" i="2"/>
  <c r="O263" i="2"/>
  <c r="N263" i="2"/>
  <c r="M263" i="2"/>
  <c r="L263" i="2"/>
  <c r="Q262" i="2"/>
  <c r="P262" i="2"/>
  <c r="O262" i="2"/>
  <c r="N262" i="2"/>
  <c r="M262" i="2"/>
  <c r="L262" i="2"/>
  <c r="Q261" i="2"/>
  <c r="P261" i="2"/>
  <c r="O261" i="2"/>
  <c r="N261" i="2"/>
  <c r="M261" i="2"/>
  <c r="L261" i="2"/>
  <c r="Q260" i="2"/>
  <c r="P260" i="2"/>
  <c r="O260" i="2"/>
  <c r="N260" i="2"/>
  <c r="M260" i="2"/>
  <c r="L260" i="2"/>
  <c r="Q259" i="2"/>
  <c r="P259" i="2"/>
  <c r="O259" i="2"/>
  <c r="N259" i="2"/>
  <c r="M259" i="2"/>
  <c r="L259" i="2"/>
  <c r="Q258" i="2"/>
  <c r="P258" i="2"/>
  <c r="O258" i="2"/>
  <c r="N258" i="2"/>
  <c r="M258" i="2"/>
  <c r="L258" i="2"/>
  <c r="Q257" i="2"/>
  <c r="P257" i="2"/>
  <c r="O257" i="2"/>
  <c r="N257" i="2"/>
  <c r="M257" i="2"/>
  <c r="L257" i="2"/>
  <c r="Q256" i="2"/>
  <c r="P256" i="2"/>
  <c r="O256" i="2"/>
  <c r="N256" i="2"/>
  <c r="M256" i="2"/>
  <c r="L256" i="2"/>
  <c r="Q255" i="2"/>
  <c r="P255" i="2"/>
  <c r="O255" i="2"/>
  <c r="N255" i="2"/>
  <c r="M255" i="2"/>
  <c r="L255" i="2"/>
  <c r="Q254" i="2"/>
  <c r="P254" i="2"/>
  <c r="O254" i="2"/>
  <c r="N254" i="2"/>
  <c r="M254" i="2"/>
  <c r="L254" i="2"/>
  <c r="Q253" i="2"/>
  <c r="P253" i="2"/>
  <c r="O253" i="2"/>
  <c r="N253" i="2"/>
  <c r="M253" i="2"/>
  <c r="L253" i="2"/>
  <c r="Q252" i="2"/>
  <c r="P252" i="2"/>
  <c r="O252" i="2"/>
  <c r="N252" i="2"/>
  <c r="M252" i="2"/>
  <c r="L252" i="2"/>
  <c r="Q251" i="2"/>
  <c r="P251" i="2"/>
  <c r="O251" i="2"/>
  <c r="N251" i="2"/>
  <c r="M251" i="2"/>
  <c r="L251" i="2"/>
  <c r="Q250" i="2"/>
  <c r="P250" i="2"/>
  <c r="O250" i="2"/>
  <c r="N250" i="2"/>
  <c r="M250" i="2"/>
  <c r="L250" i="2"/>
  <c r="Q249" i="2"/>
  <c r="P249" i="2"/>
  <c r="O249" i="2"/>
  <c r="N249" i="2"/>
  <c r="M249" i="2"/>
  <c r="L249" i="2"/>
  <c r="Q248" i="2"/>
  <c r="P248" i="2"/>
  <c r="O248" i="2"/>
  <c r="N248" i="2"/>
  <c r="M248" i="2"/>
  <c r="L248" i="2"/>
  <c r="Q247" i="2"/>
  <c r="P247" i="2"/>
  <c r="O247" i="2"/>
  <c r="N247" i="2"/>
  <c r="M247" i="2"/>
  <c r="L247" i="2"/>
  <c r="Q246" i="2"/>
  <c r="P246" i="2"/>
  <c r="O246" i="2"/>
  <c r="N246" i="2"/>
  <c r="M246" i="2"/>
  <c r="L246" i="2"/>
  <c r="Q245" i="2"/>
  <c r="P245" i="2"/>
  <c r="O245" i="2"/>
  <c r="N245" i="2"/>
  <c r="M245" i="2"/>
  <c r="L245" i="2"/>
  <c r="Q244" i="2"/>
  <c r="P244" i="2"/>
  <c r="O244" i="2"/>
  <c r="N244" i="2"/>
  <c r="M244" i="2"/>
  <c r="L244" i="2"/>
  <c r="Q243" i="2"/>
  <c r="P243" i="2"/>
  <c r="O243" i="2"/>
  <c r="N243" i="2"/>
  <c r="M243" i="2"/>
  <c r="L243" i="2"/>
  <c r="Q242" i="2"/>
  <c r="P242" i="2"/>
  <c r="O242" i="2"/>
  <c r="N242" i="2"/>
  <c r="M242" i="2"/>
  <c r="L242" i="2"/>
  <c r="Q241" i="2"/>
  <c r="P241" i="2"/>
  <c r="O241" i="2"/>
  <c r="N241" i="2"/>
  <c r="M241" i="2"/>
  <c r="L241" i="2"/>
  <c r="Q240" i="2"/>
  <c r="P240" i="2"/>
  <c r="O240" i="2"/>
  <c r="N240" i="2"/>
  <c r="M240" i="2"/>
  <c r="L240" i="2"/>
  <c r="Q239" i="2"/>
  <c r="P239" i="2"/>
  <c r="O239" i="2"/>
  <c r="N239" i="2"/>
  <c r="M239" i="2"/>
  <c r="L239" i="2"/>
  <c r="Q238" i="2"/>
  <c r="P238" i="2"/>
  <c r="O238" i="2"/>
  <c r="N238" i="2"/>
  <c r="M238" i="2"/>
  <c r="L238" i="2"/>
  <c r="Q237" i="2"/>
  <c r="P237" i="2"/>
  <c r="O237" i="2"/>
  <c r="N237" i="2"/>
  <c r="M237" i="2"/>
  <c r="L237" i="2"/>
  <c r="Q236" i="2"/>
  <c r="P236" i="2"/>
  <c r="O236" i="2"/>
  <c r="N236" i="2"/>
  <c r="M236" i="2"/>
  <c r="L236" i="2"/>
  <c r="Q235" i="2"/>
  <c r="P235" i="2"/>
  <c r="O235" i="2"/>
  <c r="N235" i="2"/>
  <c r="M235" i="2"/>
  <c r="L235" i="2"/>
  <c r="Q234" i="2"/>
  <c r="P234" i="2"/>
  <c r="O234" i="2"/>
  <c r="N234" i="2"/>
  <c r="M234" i="2"/>
  <c r="L234" i="2"/>
  <c r="Q233" i="2"/>
  <c r="P233" i="2"/>
  <c r="O233" i="2"/>
  <c r="N233" i="2"/>
  <c r="M233" i="2"/>
  <c r="L233" i="2"/>
  <c r="Q232" i="2"/>
  <c r="P232" i="2"/>
  <c r="O232" i="2"/>
  <c r="N232" i="2"/>
  <c r="M232" i="2"/>
  <c r="L232" i="2"/>
  <c r="Q231" i="2"/>
  <c r="P231" i="2"/>
  <c r="O231" i="2"/>
  <c r="N231" i="2"/>
  <c r="M231" i="2"/>
  <c r="L231" i="2"/>
  <c r="Q230" i="2"/>
  <c r="P230" i="2"/>
  <c r="O230" i="2"/>
  <c r="N230" i="2"/>
  <c r="M230" i="2"/>
  <c r="L230" i="2"/>
  <c r="Q229" i="2"/>
  <c r="P229" i="2"/>
  <c r="O229" i="2"/>
  <c r="N229" i="2"/>
  <c r="M229" i="2"/>
  <c r="L229" i="2"/>
  <c r="Q228" i="2"/>
  <c r="P228" i="2"/>
  <c r="O228" i="2"/>
  <c r="N228" i="2"/>
  <c r="M228" i="2"/>
  <c r="L228" i="2"/>
  <c r="Q227" i="2"/>
  <c r="P227" i="2"/>
  <c r="O227" i="2"/>
  <c r="N227" i="2"/>
  <c r="M227" i="2"/>
  <c r="L227" i="2"/>
  <c r="Q226" i="2"/>
  <c r="P226" i="2"/>
  <c r="O226" i="2"/>
  <c r="N226" i="2"/>
  <c r="M226" i="2"/>
  <c r="L226" i="2"/>
  <c r="Q225" i="2"/>
  <c r="P225" i="2"/>
  <c r="O225" i="2"/>
  <c r="N225" i="2"/>
  <c r="M225" i="2"/>
  <c r="L225" i="2"/>
  <c r="Q224" i="2"/>
  <c r="P224" i="2"/>
  <c r="O224" i="2"/>
  <c r="N224" i="2"/>
  <c r="M224" i="2"/>
  <c r="L224" i="2"/>
  <c r="Q223" i="2"/>
  <c r="P223" i="2"/>
  <c r="O223" i="2"/>
  <c r="N223" i="2"/>
  <c r="M223" i="2"/>
  <c r="L223" i="2"/>
  <c r="Q222" i="2"/>
  <c r="P222" i="2"/>
  <c r="O222" i="2"/>
  <c r="N222" i="2"/>
  <c r="M222" i="2"/>
  <c r="L222" i="2"/>
  <c r="Q221" i="2"/>
  <c r="P221" i="2"/>
  <c r="O221" i="2"/>
  <c r="N221" i="2"/>
  <c r="M221" i="2"/>
  <c r="L221" i="2"/>
  <c r="Q220" i="2"/>
  <c r="P220" i="2"/>
  <c r="O220" i="2"/>
  <c r="N220" i="2"/>
  <c r="M220" i="2"/>
  <c r="L220" i="2"/>
  <c r="Q219" i="2"/>
  <c r="P219" i="2"/>
  <c r="O219" i="2"/>
  <c r="N219" i="2"/>
  <c r="M219" i="2"/>
  <c r="L219" i="2"/>
  <c r="Q218" i="2"/>
  <c r="P218" i="2"/>
  <c r="O218" i="2"/>
  <c r="N218" i="2"/>
  <c r="M218" i="2"/>
  <c r="L218" i="2"/>
  <c r="Q217" i="2"/>
  <c r="P217" i="2"/>
  <c r="O217" i="2"/>
  <c r="N217" i="2"/>
  <c r="M217" i="2"/>
  <c r="L217" i="2"/>
  <c r="Q216" i="2"/>
  <c r="P216" i="2"/>
  <c r="O216" i="2"/>
  <c r="N216" i="2"/>
  <c r="M216" i="2"/>
  <c r="L216" i="2"/>
  <c r="Q215" i="2"/>
  <c r="P215" i="2"/>
  <c r="O215" i="2"/>
  <c r="N215" i="2"/>
  <c r="M215" i="2"/>
  <c r="L215" i="2"/>
  <c r="Q214" i="2"/>
  <c r="P214" i="2"/>
  <c r="O214" i="2"/>
  <c r="N214" i="2"/>
  <c r="M214" i="2"/>
  <c r="L214" i="2"/>
  <c r="Q213" i="2"/>
  <c r="P213" i="2"/>
  <c r="O213" i="2"/>
  <c r="N213" i="2"/>
  <c r="M213" i="2"/>
  <c r="L213" i="2"/>
  <c r="Q212" i="2"/>
  <c r="P212" i="2"/>
  <c r="O212" i="2"/>
  <c r="N212" i="2"/>
  <c r="M212" i="2"/>
  <c r="L212" i="2"/>
  <c r="Q211" i="2"/>
  <c r="P211" i="2"/>
  <c r="O211" i="2"/>
  <c r="N211" i="2"/>
  <c r="M211" i="2"/>
  <c r="L211" i="2"/>
  <c r="Q210" i="2"/>
  <c r="P210" i="2"/>
  <c r="O210" i="2"/>
  <c r="N210" i="2"/>
  <c r="M210" i="2"/>
  <c r="L210" i="2"/>
  <c r="Q209" i="2"/>
  <c r="P209" i="2"/>
  <c r="O209" i="2"/>
  <c r="N209" i="2"/>
  <c r="M209" i="2"/>
  <c r="L209" i="2"/>
  <c r="Q208" i="2"/>
  <c r="P208" i="2"/>
  <c r="O208" i="2"/>
  <c r="N208" i="2"/>
  <c r="M208" i="2"/>
  <c r="L208" i="2"/>
  <c r="Q207" i="2"/>
  <c r="P207" i="2"/>
  <c r="O207" i="2"/>
  <c r="N207" i="2"/>
  <c r="M207" i="2"/>
  <c r="L207" i="2"/>
  <c r="Q206" i="2"/>
  <c r="P206" i="2"/>
  <c r="O206" i="2"/>
  <c r="N206" i="2"/>
  <c r="M206" i="2"/>
  <c r="L206" i="2"/>
  <c r="Q205" i="2"/>
  <c r="P205" i="2"/>
  <c r="O205" i="2"/>
  <c r="N205" i="2"/>
  <c r="M205" i="2"/>
  <c r="L205" i="2"/>
  <c r="Q204" i="2"/>
  <c r="P204" i="2"/>
  <c r="O204" i="2"/>
  <c r="N204" i="2"/>
  <c r="M204" i="2"/>
  <c r="L204" i="2"/>
  <c r="Q203" i="2"/>
  <c r="P203" i="2"/>
  <c r="O203" i="2"/>
  <c r="N203" i="2"/>
  <c r="M203" i="2"/>
  <c r="L203" i="2"/>
  <c r="Q202" i="2"/>
  <c r="P202" i="2"/>
  <c r="O202" i="2"/>
  <c r="N202" i="2"/>
  <c r="M202" i="2"/>
  <c r="L202" i="2"/>
  <c r="Q201" i="2"/>
  <c r="P201" i="2"/>
  <c r="O201" i="2"/>
  <c r="N201" i="2"/>
  <c r="M201" i="2"/>
  <c r="L201" i="2"/>
  <c r="Q200" i="2"/>
  <c r="P200" i="2"/>
  <c r="O200" i="2"/>
  <c r="N200" i="2"/>
  <c r="M200" i="2"/>
  <c r="L200" i="2"/>
  <c r="Q199" i="2"/>
  <c r="P199" i="2"/>
  <c r="O199" i="2"/>
  <c r="N199" i="2"/>
  <c r="M199" i="2"/>
  <c r="L199" i="2"/>
  <c r="Q198" i="2"/>
  <c r="P198" i="2"/>
  <c r="O198" i="2"/>
  <c r="N198" i="2"/>
  <c r="M198" i="2"/>
  <c r="L198" i="2"/>
  <c r="Q197" i="2"/>
  <c r="P197" i="2"/>
  <c r="O197" i="2"/>
  <c r="N197" i="2"/>
  <c r="M197" i="2"/>
  <c r="L197" i="2"/>
  <c r="Q196" i="2"/>
  <c r="P196" i="2"/>
  <c r="O196" i="2"/>
  <c r="N196" i="2"/>
  <c r="M196" i="2"/>
  <c r="L196" i="2"/>
  <c r="Q195" i="2"/>
  <c r="P195" i="2"/>
  <c r="O195" i="2"/>
  <c r="N195" i="2"/>
  <c r="M195" i="2"/>
  <c r="L195" i="2"/>
  <c r="Q194" i="2"/>
  <c r="P194" i="2"/>
  <c r="O194" i="2"/>
  <c r="N194" i="2"/>
  <c r="M194" i="2"/>
  <c r="L194" i="2"/>
  <c r="Q193" i="2"/>
  <c r="P193" i="2"/>
  <c r="O193" i="2"/>
  <c r="N193" i="2"/>
  <c r="M193" i="2"/>
  <c r="L193" i="2"/>
  <c r="Q192" i="2"/>
  <c r="P192" i="2"/>
  <c r="O192" i="2"/>
  <c r="N192" i="2"/>
  <c r="M192" i="2"/>
  <c r="L192" i="2"/>
  <c r="Q191" i="2"/>
  <c r="P191" i="2"/>
  <c r="O191" i="2"/>
  <c r="N191" i="2"/>
  <c r="M191" i="2"/>
  <c r="L191" i="2"/>
  <c r="Q190" i="2"/>
  <c r="P190" i="2"/>
  <c r="O190" i="2"/>
  <c r="N190" i="2"/>
  <c r="M190" i="2"/>
  <c r="L190" i="2"/>
  <c r="Q189" i="2"/>
  <c r="P189" i="2"/>
  <c r="O189" i="2"/>
  <c r="N189" i="2"/>
  <c r="M189" i="2"/>
  <c r="L189" i="2"/>
  <c r="Q188" i="2"/>
  <c r="P188" i="2"/>
  <c r="O188" i="2"/>
  <c r="N188" i="2"/>
  <c r="M188" i="2"/>
  <c r="L188" i="2"/>
  <c r="Q187" i="2"/>
  <c r="P187" i="2"/>
  <c r="O187" i="2"/>
  <c r="N187" i="2"/>
  <c r="M187" i="2"/>
  <c r="L187" i="2"/>
  <c r="Q186" i="2"/>
  <c r="P186" i="2"/>
  <c r="O186" i="2"/>
  <c r="N186" i="2"/>
  <c r="M186" i="2"/>
  <c r="L186" i="2"/>
  <c r="Q185" i="2"/>
  <c r="P185" i="2"/>
  <c r="O185" i="2"/>
  <c r="N185" i="2"/>
  <c r="M185" i="2"/>
  <c r="L185" i="2"/>
  <c r="Q184" i="2"/>
  <c r="P184" i="2"/>
  <c r="O184" i="2"/>
  <c r="N184" i="2"/>
  <c r="M184" i="2"/>
  <c r="L184" i="2"/>
  <c r="Q183" i="2"/>
  <c r="P183" i="2"/>
  <c r="O183" i="2"/>
  <c r="N183" i="2"/>
  <c r="M183" i="2"/>
  <c r="L183" i="2"/>
  <c r="Q182" i="2"/>
  <c r="P182" i="2"/>
  <c r="O182" i="2"/>
  <c r="N182" i="2"/>
  <c r="M182" i="2"/>
  <c r="L182" i="2"/>
  <c r="Q181" i="2"/>
  <c r="P181" i="2"/>
  <c r="O181" i="2"/>
  <c r="N181" i="2"/>
  <c r="M181" i="2"/>
  <c r="L181" i="2"/>
  <c r="Q180" i="2"/>
  <c r="P180" i="2"/>
  <c r="O180" i="2"/>
  <c r="N180" i="2"/>
  <c r="M180" i="2"/>
  <c r="L180" i="2"/>
  <c r="Q179" i="2"/>
  <c r="P179" i="2"/>
  <c r="O179" i="2"/>
  <c r="N179" i="2"/>
  <c r="M179" i="2"/>
  <c r="L179" i="2"/>
  <c r="Q178" i="2"/>
  <c r="P178" i="2"/>
  <c r="O178" i="2"/>
  <c r="N178" i="2"/>
  <c r="M178" i="2"/>
  <c r="L178" i="2"/>
  <c r="Q177" i="2"/>
  <c r="P177" i="2"/>
  <c r="O177" i="2"/>
  <c r="N177" i="2"/>
  <c r="M177" i="2"/>
  <c r="L177" i="2"/>
  <c r="Q176" i="2"/>
  <c r="P176" i="2"/>
  <c r="O176" i="2"/>
  <c r="N176" i="2"/>
  <c r="M176" i="2"/>
  <c r="L176" i="2"/>
  <c r="Q175" i="2"/>
  <c r="P175" i="2"/>
  <c r="O175" i="2"/>
  <c r="N175" i="2"/>
  <c r="M175" i="2"/>
  <c r="L175" i="2"/>
  <c r="Q174" i="2"/>
  <c r="P174" i="2"/>
  <c r="O174" i="2"/>
  <c r="N174" i="2"/>
  <c r="M174" i="2"/>
  <c r="L174" i="2"/>
  <c r="Q173" i="2"/>
  <c r="P173" i="2"/>
  <c r="O173" i="2"/>
  <c r="N173" i="2"/>
  <c r="M173" i="2"/>
  <c r="L173" i="2"/>
  <c r="Q172" i="2"/>
  <c r="P172" i="2"/>
  <c r="O172" i="2"/>
  <c r="N172" i="2"/>
  <c r="M172" i="2"/>
  <c r="L172" i="2"/>
  <c r="Q171" i="2"/>
  <c r="P171" i="2"/>
  <c r="O171" i="2"/>
  <c r="N171" i="2"/>
  <c r="M171" i="2"/>
  <c r="L171" i="2"/>
  <c r="Q170" i="2"/>
  <c r="P170" i="2"/>
  <c r="O170" i="2"/>
  <c r="N170" i="2"/>
  <c r="M170" i="2"/>
  <c r="L170" i="2"/>
  <c r="Q169" i="2"/>
  <c r="P169" i="2"/>
  <c r="O169" i="2"/>
  <c r="N169" i="2"/>
  <c r="M169" i="2"/>
  <c r="L169" i="2"/>
  <c r="Q168" i="2"/>
  <c r="P168" i="2"/>
  <c r="O168" i="2"/>
  <c r="N168" i="2"/>
  <c r="M168" i="2"/>
  <c r="L168" i="2"/>
  <c r="Q167" i="2"/>
  <c r="P167" i="2"/>
  <c r="O167" i="2"/>
  <c r="N167" i="2"/>
  <c r="M167" i="2"/>
  <c r="L167" i="2"/>
  <c r="Q166" i="2"/>
  <c r="P166" i="2"/>
  <c r="O166" i="2"/>
  <c r="N166" i="2"/>
  <c r="M166" i="2"/>
  <c r="L166" i="2"/>
  <c r="Q165" i="2"/>
  <c r="P165" i="2"/>
  <c r="O165" i="2"/>
  <c r="N165" i="2"/>
  <c r="M165" i="2"/>
  <c r="L165" i="2"/>
  <c r="Q164" i="2"/>
  <c r="P164" i="2"/>
  <c r="O164" i="2"/>
  <c r="N164" i="2"/>
  <c r="M164" i="2"/>
  <c r="L164" i="2"/>
  <c r="Q163" i="2"/>
  <c r="P163" i="2"/>
  <c r="O163" i="2"/>
  <c r="N163" i="2"/>
  <c r="M163" i="2"/>
  <c r="L163" i="2"/>
  <c r="Q162" i="2"/>
  <c r="P162" i="2"/>
  <c r="O162" i="2"/>
  <c r="N162" i="2"/>
  <c r="M162" i="2"/>
  <c r="L162" i="2"/>
  <c r="Q161" i="2"/>
  <c r="P161" i="2"/>
  <c r="O161" i="2"/>
  <c r="N161" i="2"/>
  <c r="M161" i="2"/>
  <c r="L161" i="2"/>
  <c r="Q160" i="2"/>
  <c r="P160" i="2"/>
  <c r="O160" i="2"/>
  <c r="N160" i="2"/>
  <c r="M160" i="2"/>
  <c r="L160" i="2"/>
  <c r="Q159" i="2"/>
  <c r="P159" i="2"/>
  <c r="O159" i="2"/>
  <c r="N159" i="2"/>
  <c r="M159" i="2"/>
  <c r="L159" i="2"/>
  <c r="Q158" i="2"/>
  <c r="P158" i="2"/>
  <c r="O158" i="2"/>
  <c r="N158" i="2"/>
  <c r="M158" i="2"/>
  <c r="L158" i="2"/>
  <c r="Q157" i="2"/>
  <c r="P157" i="2"/>
  <c r="O157" i="2"/>
  <c r="N157" i="2"/>
  <c r="M157" i="2"/>
  <c r="L157" i="2"/>
  <c r="Q156" i="2"/>
  <c r="P156" i="2"/>
  <c r="O156" i="2"/>
  <c r="N156" i="2"/>
  <c r="M156" i="2"/>
  <c r="L156" i="2"/>
  <c r="Q155" i="2"/>
  <c r="P155" i="2"/>
  <c r="O155" i="2"/>
  <c r="N155" i="2"/>
  <c r="M155" i="2"/>
  <c r="L155" i="2"/>
  <c r="Q154" i="2"/>
  <c r="P154" i="2"/>
  <c r="O154" i="2"/>
  <c r="N154" i="2"/>
  <c r="M154" i="2"/>
  <c r="L154" i="2"/>
  <c r="Q153" i="2"/>
  <c r="P153" i="2"/>
  <c r="O153" i="2"/>
  <c r="N153" i="2"/>
  <c r="M153" i="2"/>
  <c r="L153" i="2"/>
  <c r="Q152" i="2"/>
  <c r="P152" i="2"/>
  <c r="O152" i="2"/>
  <c r="N152" i="2"/>
  <c r="M152" i="2"/>
  <c r="L152" i="2"/>
  <c r="Q151" i="2"/>
  <c r="P151" i="2"/>
  <c r="O151" i="2"/>
  <c r="N151" i="2"/>
  <c r="M151" i="2"/>
  <c r="L151" i="2"/>
  <c r="Q150" i="2"/>
  <c r="P150" i="2"/>
  <c r="O150" i="2"/>
  <c r="N150" i="2"/>
  <c r="M150" i="2"/>
  <c r="L150" i="2"/>
  <c r="Q149" i="2"/>
  <c r="P149" i="2"/>
  <c r="O149" i="2"/>
  <c r="N149" i="2"/>
  <c r="M149" i="2"/>
  <c r="L149" i="2"/>
  <c r="Q148" i="2"/>
  <c r="P148" i="2"/>
  <c r="O148" i="2"/>
  <c r="N148" i="2"/>
  <c r="M148" i="2"/>
  <c r="L148" i="2"/>
  <c r="Q147" i="2"/>
  <c r="P147" i="2"/>
  <c r="O147" i="2"/>
  <c r="N147" i="2"/>
  <c r="M147" i="2"/>
  <c r="L147" i="2"/>
  <c r="Q146" i="2"/>
  <c r="P146" i="2"/>
  <c r="O146" i="2"/>
  <c r="N146" i="2"/>
  <c r="M146" i="2"/>
  <c r="L146" i="2"/>
  <c r="Q145" i="2"/>
  <c r="P145" i="2"/>
  <c r="O145" i="2"/>
  <c r="N145" i="2"/>
  <c r="M145" i="2"/>
  <c r="L145" i="2"/>
  <c r="Q144" i="2"/>
  <c r="P144" i="2"/>
  <c r="O144" i="2"/>
  <c r="N144" i="2"/>
  <c r="M144" i="2"/>
  <c r="L144" i="2"/>
  <c r="Q143" i="2"/>
  <c r="P143" i="2"/>
  <c r="O143" i="2"/>
  <c r="N143" i="2"/>
  <c r="M143" i="2"/>
  <c r="L143" i="2"/>
  <c r="Q142" i="2"/>
  <c r="P142" i="2"/>
  <c r="O142" i="2"/>
  <c r="N142" i="2"/>
  <c r="M142" i="2"/>
  <c r="L142" i="2"/>
  <c r="Q141" i="2"/>
  <c r="P141" i="2"/>
  <c r="O141" i="2"/>
  <c r="N141" i="2"/>
  <c r="M141" i="2"/>
  <c r="L141" i="2"/>
  <c r="Q140" i="2"/>
  <c r="P140" i="2"/>
  <c r="O140" i="2"/>
  <c r="N140" i="2"/>
  <c r="M140" i="2"/>
  <c r="L140" i="2"/>
  <c r="Q139" i="2"/>
  <c r="P139" i="2"/>
  <c r="O139" i="2"/>
  <c r="N139" i="2"/>
  <c r="M139" i="2"/>
  <c r="L139" i="2"/>
  <c r="Q138" i="2"/>
  <c r="P138" i="2"/>
  <c r="O138" i="2"/>
  <c r="N138" i="2"/>
  <c r="M138" i="2"/>
  <c r="L138" i="2"/>
  <c r="Q137" i="2"/>
  <c r="P137" i="2"/>
  <c r="O137" i="2"/>
  <c r="N137" i="2"/>
  <c r="M137" i="2"/>
  <c r="L137" i="2"/>
  <c r="Q136" i="2"/>
  <c r="P136" i="2"/>
  <c r="O136" i="2"/>
  <c r="N136" i="2"/>
  <c r="M136" i="2"/>
  <c r="L136" i="2"/>
  <c r="Q135" i="2"/>
  <c r="P135" i="2"/>
  <c r="O135" i="2"/>
  <c r="N135" i="2"/>
  <c r="M135" i="2"/>
  <c r="L135" i="2"/>
  <c r="Q134" i="2"/>
  <c r="P134" i="2"/>
  <c r="O134" i="2"/>
  <c r="N134" i="2"/>
  <c r="M134" i="2"/>
  <c r="L134" i="2"/>
  <c r="Q133" i="2"/>
  <c r="P133" i="2"/>
  <c r="O133" i="2"/>
  <c r="N133" i="2"/>
  <c r="M133" i="2"/>
  <c r="L133" i="2"/>
  <c r="Q132" i="2"/>
  <c r="P132" i="2"/>
  <c r="O132" i="2"/>
  <c r="N132" i="2"/>
  <c r="M132" i="2"/>
  <c r="L132" i="2"/>
  <c r="Q131" i="2"/>
  <c r="P131" i="2"/>
  <c r="O131" i="2"/>
  <c r="N131" i="2"/>
  <c r="M131" i="2"/>
  <c r="L131" i="2"/>
  <c r="Q130" i="2"/>
  <c r="P130" i="2"/>
  <c r="O130" i="2"/>
  <c r="N130" i="2"/>
  <c r="M130" i="2"/>
  <c r="L130" i="2"/>
  <c r="Q129" i="2"/>
  <c r="P129" i="2"/>
  <c r="O129" i="2"/>
  <c r="N129" i="2"/>
  <c r="M129" i="2"/>
  <c r="L129" i="2"/>
  <c r="Q128" i="2"/>
  <c r="P128" i="2"/>
  <c r="O128" i="2"/>
  <c r="N128" i="2"/>
  <c r="M128" i="2"/>
  <c r="L128" i="2"/>
  <c r="Q127" i="2"/>
  <c r="P127" i="2"/>
  <c r="O127" i="2"/>
  <c r="N127" i="2"/>
  <c r="M127" i="2"/>
  <c r="L127" i="2"/>
  <c r="Q126" i="2"/>
  <c r="P126" i="2"/>
  <c r="O126" i="2"/>
  <c r="N126" i="2"/>
  <c r="M126" i="2"/>
  <c r="L126" i="2"/>
  <c r="Q125" i="2"/>
  <c r="P125" i="2"/>
  <c r="O125" i="2"/>
  <c r="N125" i="2"/>
  <c r="M125" i="2"/>
  <c r="L125" i="2"/>
  <c r="Q124" i="2"/>
  <c r="P124" i="2"/>
  <c r="O124" i="2"/>
  <c r="N124" i="2"/>
  <c r="M124" i="2"/>
  <c r="L124" i="2"/>
  <c r="Q123" i="2"/>
  <c r="P123" i="2"/>
  <c r="O123" i="2"/>
  <c r="N123" i="2"/>
  <c r="M123" i="2"/>
  <c r="L123" i="2"/>
  <c r="Q122" i="2"/>
  <c r="P122" i="2"/>
  <c r="O122" i="2"/>
  <c r="N122" i="2"/>
  <c r="M122" i="2"/>
  <c r="L122" i="2"/>
  <c r="Q121" i="2"/>
  <c r="P121" i="2"/>
  <c r="O121" i="2"/>
  <c r="N121" i="2"/>
  <c r="M121" i="2"/>
  <c r="L121" i="2"/>
  <c r="Q120" i="2"/>
  <c r="P120" i="2"/>
  <c r="O120" i="2"/>
  <c r="N120" i="2"/>
  <c r="M120" i="2"/>
  <c r="L120" i="2"/>
  <c r="Q119" i="2"/>
  <c r="P119" i="2"/>
  <c r="O119" i="2"/>
  <c r="N119" i="2"/>
  <c r="M119" i="2"/>
  <c r="L119" i="2"/>
  <c r="Q118" i="2"/>
  <c r="P118" i="2"/>
  <c r="O118" i="2"/>
  <c r="N118" i="2"/>
  <c r="M118" i="2"/>
  <c r="L118" i="2"/>
  <c r="Q117" i="2"/>
  <c r="P117" i="2"/>
  <c r="O117" i="2"/>
  <c r="N117" i="2"/>
  <c r="M117" i="2"/>
  <c r="L117" i="2"/>
  <c r="Q116" i="2"/>
  <c r="P116" i="2"/>
  <c r="O116" i="2"/>
  <c r="N116" i="2"/>
  <c r="M116" i="2"/>
  <c r="L116" i="2"/>
  <c r="Q115" i="2"/>
  <c r="P115" i="2"/>
  <c r="O115" i="2"/>
  <c r="N115" i="2"/>
  <c r="M115" i="2"/>
  <c r="L115" i="2"/>
  <c r="Q114" i="2"/>
  <c r="P114" i="2"/>
  <c r="O114" i="2"/>
  <c r="N114" i="2"/>
  <c r="M114" i="2"/>
  <c r="L114" i="2"/>
  <c r="Q113" i="2"/>
  <c r="P113" i="2"/>
  <c r="O113" i="2"/>
  <c r="N113" i="2"/>
  <c r="M113" i="2"/>
  <c r="L113" i="2"/>
  <c r="Q112" i="2"/>
  <c r="P112" i="2"/>
  <c r="O112" i="2"/>
  <c r="N112" i="2"/>
  <c r="M112" i="2"/>
  <c r="L112" i="2"/>
  <c r="Q111" i="2"/>
  <c r="P111" i="2"/>
  <c r="O111" i="2"/>
  <c r="N111" i="2"/>
  <c r="M111" i="2"/>
  <c r="L111" i="2"/>
  <c r="Q110" i="2"/>
  <c r="P110" i="2"/>
  <c r="O110" i="2"/>
  <c r="N110" i="2"/>
  <c r="M110" i="2"/>
  <c r="L110" i="2"/>
  <c r="Q109" i="2"/>
  <c r="P109" i="2"/>
  <c r="O109" i="2"/>
  <c r="N109" i="2"/>
  <c r="M109" i="2"/>
  <c r="L109" i="2"/>
  <c r="Q108" i="2"/>
  <c r="P108" i="2"/>
  <c r="O108" i="2"/>
  <c r="N108" i="2"/>
  <c r="M108" i="2"/>
  <c r="L108" i="2"/>
  <c r="Q107" i="2"/>
  <c r="P107" i="2"/>
  <c r="O107" i="2"/>
  <c r="N107" i="2"/>
  <c r="M107" i="2"/>
  <c r="L107" i="2"/>
  <c r="Q106" i="2"/>
  <c r="P106" i="2"/>
  <c r="O106" i="2"/>
  <c r="N106" i="2"/>
  <c r="M106" i="2"/>
  <c r="L106" i="2"/>
  <c r="Q105" i="2"/>
  <c r="P105" i="2"/>
  <c r="O105" i="2"/>
  <c r="N105" i="2"/>
  <c r="M105" i="2"/>
  <c r="L105" i="2"/>
  <c r="Q104" i="2"/>
  <c r="P104" i="2"/>
  <c r="O104" i="2"/>
  <c r="N104" i="2"/>
  <c r="M104" i="2"/>
  <c r="L104" i="2"/>
  <c r="Q103" i="2"/>
  <c r="P103" i="2"/>
  <c r="O103" i="2"/>
  <c r="N103" i="2"/>
  <c r="M103" i="2"/>
  <c r="L103" i="2"/>
  <c r="Q102" i="2"/>
  <c r="P102" i="2"/>
  <c r="O102" i="2"/>
  <c r="N102" i="2"/>
  <c r="M102" i="2"/>
  <c r="L102" i="2"/>
  <c r="Q101" i="2"/>
  <c r="P101" i="2"/>
  <c r="O101" i="2"/>
  <c r="N101" i="2"/>
  <c r="M101" i="2"/>
  <c r="F102" i="3" s="1"/>
  <c r="L101" i="2"/>
  <c r="Q100" i="2"/>
  <c r="P100" i="2"/>
  <c r="O100" i="2"/>
  <c r="N100" i="2"/>
  <c r="M100" i="2"/>
  <c r="F101" i="3" s="1"/>
  <c r="L100" i="2"/>
  <c r="Q99" i="2"/>
  <c r="P99" i="2"/>
  <c r="O99" i="2"/>
  <c r="N99" i="2"/>
  <c r="M99" i="2"/>
  <c r="F100" i="3" s="1"/>
  <c r="L99" i="2"/>
  <c r="Q98" i="2"/>
  <c r="P98" i="2"/>
  <c r="O98" i="2"/>
  <c r="N98" i="2"/>
  <c r="M98" i="2"/>
  <c r="F99" i="3" s="1"/>
  <c r="L98" i="2"/>
  <c r="Q97" i="2"/>
  <c r="P97" i="2"/>
  <c r="O97" i="2"/>
  <c r="N97" i="2"/>
  <c r="M97" i="2"/>
  <c r="F98" i="3" s="1"/>
  <c r="L97" i="2"/>
  <c r="Q96" i="2"/>
  <c r="P96" i="2"/>
  <c r="O96" i="2"/>
  <c r="N96" i="2"/>
  <c r="M96" i="2"/>
  <c r="F97" i="3" s="1"/>
  <c r="L96" i="2"/>
  <c r="Q95" i="2"/>
  <c r="P95" i="2"/>
  <c r="O95" i="2"/>
  <c r="N95" i="2"/>
  <c r="M95" i="2"/>
  <c r="F96" i="3" s="1"/>
  <c r="L95" i="2"/>
  <c r="Q94" i="2"/>
  <c r="P94" i="2"/>
  <c r="O94" i="2"/>
  <c r="N94" i="2"/>
  <c r="M94" i="2"/>
  <c r="F95" i="3" s="1"/>
  <c r="L94" i="2"/>
  <c r="Q93" i="2"/>
  <c r="P93" i="2"/>
  <c r="O93" i="2"/>
  <c r="N93" i="2"/>
  <c r="M93" i="2"/>
  <c r="F94" i="3" s="1"/>
  <c r="L93" i="2"/>
  <c r="Q92" i="2"/>
  <c r="P92" i="2"/>
  <c r="O92" i="2"/>
  <c r="N92" i="2"/>
  <c r="M92" i="2"/>
  <c r="F93" i="3" s="1"/>
  <c r="L92" i="2"/>
  <c r="Q91" i="2"/>
  <c r="P91" i="2"/>
  <c r="O91" i="2"/>
  <c r="N91" i="2"/>
  <c r="M91" i="2"/>
  <c r="F92" i="3" s="1"/>
  <c r="L91" i="2"/>
  <c r="Q90" i="2"/>
  <c r="P90" i="2"/>
  <c r="O90" i="2"/>
  <c r="N90" i="2"/>
  <c r="M90" i="2"/>
  <c r="F91" i="3" s="1"/>
  <c r="L90" i="2"/>
  <c r="Q89" i="2"/>
  <c r="P89" i="2"/>
  <c r="O89" i="2"/>
  <c r="N89" i="2"/>
  <c r="M89" i="2"/>
  <c r="F90" i="3" s="1"/>
  <c r="L89" i="2"/>
  <c r="Q88" i="2"/>
  <c r="P88" i="2"/>
  <c r="O88" i="2"/>
  <c r="N88" i="2"/>
  <c r="M88" i="2"/>
  <c r="F89" i="3" s="1"/>
  <c r="L88" i="2"/>
  <c r="Q87" i="2"/>
  <c r="P87" i="2"/>
  <c r="O87" i="2"/>
  <c r="N87" i="2"/>
  <c r="M87" i="2"/>
  <c r="F88" i="3" s="1"/>
  <c r="L87" i="2"/>
  <c r="Q86" i="2"/>
  <c r="P86" i="2"/>
  <c r="O86" i="2"/>
  <c r="N86" i="2"/>
  <c r="M86" i="2"/>
  <c r="F87" i="3" s="1"/>
  <c r="L86" i="2"/>
  <c r="Q85" i="2"/>
  <c r="P85" i="2"/>
  <c r="O85" i="2"/>
  <c r="N85" i="2"/>
  <c r="M85" i="2"/>
  <c r="F86" i="3" s="1"/>
  <c r="L85" i="2"/>
  <c r="Q84" i="2"/>
  <c r="P84" i="2"/>
  <c r="O84" i="2"/>
  <c r="N84" i="2"/>
  <c r="M84" i="2"/>
  <c r="F85" i="3" s="1"/>
  <c r="L84" i="2"/>
  <c r="Q83" i="2"/>
  <c r="P83" i="2"/>
  <c r="O83" i="2"/>
  <c r="N83" i="2"/>
  <c r="M83" i="2"/>
  <c r="F84" i="3" s="1"/>
  <c r="L83" i="2"/>
  <c r="Q82" i="2"/>
  <c r="P82" i="2"/>
  <c r="O82" i="2"/>
  <c r="N82" i="2"/>
  <c r="M82" i="2"/>
  <c r="F83" i="3" s="1"/>
  <c r="L82" i="2"/>
  <c r="Q81" i="2"/>
  <c r="P81" i="2"/>
  <c r="O81" i="2"/>
  <c r="N81" i="2"/>
  <c r="M81" i="2"/>
  <c r="F82" i="3" s="1"/>
  <c r="L81" i="2"/>
  <c r="Q80" i="2"/>
  <c r="P80" i="2"/>
  <c r="O80" i="2"/>
  <c r="N80" i="2"/>
  <c r="M80" i="2"/>
  <c r="F81" i="3" s="1"/>
  <c r="L80" i="2"/>
  <c r="Q79" i="2"/>
  <c r="P79" i="2"/>
  <c r="O79" i="2"/>
  <c r="N79" i="2"/>
  <c r="M79" i="2"/>
  <c r="F80" i="3" s="1"/>
  <c r="L79" i="2"/>
  <c r="Q78" i="2"/>
  <c r="P78" i="2"/>
  <c r="O78" i="2"/>
  <c r="N78" i="2"/>
  <c r="M78" i="2"/>
  <c r="F79" i="3" s="1"/>
  <c r="L78" i="2"/>
  <c r="Q77" i="2"/>
  <c r="P77" i="2"/>
  <c r="O77" i="2"/>
  <c r="N77" i="2"/>
  <c r="M77" i="2"/>
  <c r="F78" i="3" s="1"/>
  <c r="L77" i="2"/>
  <c r="Q76" i="2"/>
  <c r="P76" i="2"/>
  <c r="O76" i="2"/>
  <c r="N76" i="2"/>
  <c r="M76" i="2"/>
  <c r="F77" i="3" s="1"/>
  <c r="L76" i="2"/>
  <c r="Q75" i="2"/>
  <c r="P75" i="2"/>
  <c r="O75" i="2"/>
  <c r="N75" i="2"/>
  <c r="M75" i="2"/>
  <c r="F76" i="3" s="1"/>
  <c r="L75" i="2"/>
  <c r="Q74" i="2"/>
  <c r="P74" i="2"/>
  <c r="O74" i="2"/>
  <c r="N74" i="2"/>
  <c r="M74" i="2"/>
  <c r="F75" i="3" s="1"/>
  <c r="L74" i="2"/>
  <c r="Q73" i="2"/>
  <c r="P73" i="2"/>
  <c r="O73" i="2"/>
  <c r="N73" i="2"/>
  <c r="M73" i="2"/>
  <c r="F74" i="3" s="1"/>
  <c r="L73" i="2"/>
  <c r="Q72" i="2"/>
  <c r="P72" i="2"/>
  <c r="O72" i="2"/>
  <c r="N72" i="2"/>
  <c r="M72" i="2"/>
  <c r="F73" i="3" s="1"/>
  <c r="L72" i="2"/>
  <c r="Q71" i="2"/>
  <c r="P71" i="2"/>
  <c r="O71" i="2"/>
  <c r="N71" i="2"/>
  <c r="M71" i="2"/>
  <c r="F72" i="3" s="1"/>
  <c r="L71" i="2"/>
  <c r="Q70" i="2"/>
  <c r="P70" i="2"/>
  <c r="O70" i="2"/>
  <c r="N70" i="2"/>
  <c r="M70" i="2"/>
  <c r="F71" i="3" s="1"/>
  <c r="L70" i="2"/>
  <c r="Q69" i="2"/>
  <c r="P69" i="2"/>
  <c r="O69" i="2"/>
  <c r="N69" i="2"/>
  <c r="M69" i="2"/>
  <c r="F70" i="3" s="1"/>
  <c r="L69" i="2"/>
  <c r="Q68" i="2"/>
  <c r="P68" i="2"/>
  <c r="O68" i="2"/>
  <c r="N68" i="2"/>
  <c r="M68" i="2"/>
  <c r="F69" i="3" s="1"/>
  <c r="L68" i="2"/>
  <c r="Q67" i="2"/>
  <c r="P67" i="2"/>
  <c r="O67" i="2"/>
  <c r="N67" i="2"/>
  <c r="M67" i="2"/>
  <c r="F68" i="3" s="1"/>
  <c r="L67" i="2"/>
  <c r="Q66" i="2"/>
  <c r="P66" i="2"/>
  <c r="O66" i="2"/>
  <c r="N66" i="2"/>
  <c r="M66" i="2"/>
  <c r="F67" i="3" s="1"/>
  <c r="L66" i="2"/>
  <c r="Q65" i="2"/>
  <c r="P65" i="2"/>
  <c r="O65" i="2"/>
  <c r="N65" i="2"/>
  <c r="M65" i="2"/>
  <c r="F66" i="3" s="1"/>
  <c r="L65" i="2"/>
  <c r="Q64" i="2"/>
  <c r="P64" i="2"/>
  <c r="O64" i="2"/>
  <c r="N64" i="2"/>
  <c r="M64" i="2"/>
  <c r="F65" i="3" s="1"/>
  <c r="L64" i="2"/>
  <c r="Q63" i="2"/>
  <c r="P63" i="2"/>
  <c r="O63" i="2"/>
  <c r="N63" i="2"/>
  <c r="M63" i="2"/>
  <c r="F64" i="3" s="1"/>
  <c r="L63" i="2"/>
  <c r="Q62" i="2"/>
  <c r="P62" i="2"/>
  <c r="O62" i="2"/>
  <c r="N62" i="2"/>
  <c r="M62" i="2"/>
  <c r="F63" i="3" s="1"/>
  <c r="L62" i="2"/>
  <c r="Q61" i="2"/>
  <c r="P61" i="2"/>
  <c r="O61" i="2"/>
  <c r="N61" i="2"/>
  <c r="M61" i="2"/>
  <c r="F62" i="3" s="1"/>
  <c r="L61" i="2"/>
  <c r="Q60" i="2"/>
  <c r="P60" i="2"/>
  <c r="O60" i="2"/>
  <c r="N60" i="2"/>
  <c r="M60" i="2"/>
  <c r="F61" i="3" s="1"/>
  <c r="L60" i="2"/>
  <c r="Q59" i="2"/>
  <c r="P59" i="2"/>
  <c r="O59" i="2"/>
  <c r="N59" i="2"/>
  <c r="M59" i="2"/>
  <c r="F60" i="3" s="1"/>
  <c r="L59" i="2"/>
  <c r="Q58" i="2"/>
  <c r="P58" i="2"/>
  <c r="O58" i="2"/>
  <c r="N58" i="2"/>
  <c r="M58" i="2"/>
  <c r="F59" i="3" s="1"/>
  <c r="L58" i="2"/>
  <c r="Q57" i="2"/>
  <c r="P57" i="2"/>
  <c r="O57" i="2"/>
  <c r="N57" i="2"/>
  <c r="M57" i="2"/>
  <c r="F58" i="3" s="1"/>
  <c r="L57" i="2"/>
  <c r="Q56" i="2"/>
  <c r="P56" i="2"/>
  <c r="O56" i="2"/>
  <c r="N56" i="2"/>
  <c r="M56" i="2"/>
  <c r="F57" i="3" s="1"/>
  <c r="L56" i="2"/>
  <c r="Q55" i="2"/>
  <c r="P55" i="2"/>
  <c r="O55" i="2"/>
  <c r="N55" i="2"/>
  <c r="M55" i="2"/>
  <c r="F56" i="3" s="1"/>
  <c r="L55" i="2"/>
  <c r="Q54" i="2"/>
  <c r="P54" i="2"/>
  <c r="O54" i="2"/>
  <c r="N54" i="2"/>
  <c r="M54" i="2"/>
  <c r="F55" i="3" s="1"/>
  <c r="L54" i="2"/>
  <c r="Q53" i="2"/>
  <c r="P53" i="2"/>
  <c r="O53" i="2"/>
  <c r="N53" i="2"/>
  <c r="M53" i="2"/>
  <c r="F54" i="3" s="1"/>
  <c r="L53" i="2"/>
  <c r="Q52" i="2"/>
  <c r="P52" i="2"/>
  <c r="O52" i="2"/>
  <c r="N52" i="2"/>
  <c r="M52" i="2"/>
  <c r="F53" i="3" s="1"/>
  <c r="L52" i="2"/>
  <c r="Q51" i="2"/>
  <c r="P51" i="2"/>
  <c r="O51" i="2"/>
  <c r="N51" i="2"/>
  <c r="M51" i="2"/>
  <c r="F52" i="3" s="1"/>
  <c r="L51" i="2"/>
  <c r="Q50" i="2"/>
  <c r="P50" i="2"/>
  <c r="O50" i="2"/>
  <c r="N50" i="2"/>
  <c r="M50" i="2"/>
  <c r="F51" i="3" s="1"/>
  <c r="L50" i="2"/>
  <c r="Q49" i="2"/>
  <c r="P49" i="2"/>
  <c r="O49" i="2"/>
  <c r="N49" i="2"/>
  <c r="M49" i="2"/>
  <c r="F50" i="3" s="1"/>
  <c r="L49" i="2"/>
  <c r="Q48" i="2"/>
  <c r="P48" i="2"/>
  <c r="O48" i="2"/>
  <c r="N48" i="2"/>
  <c r="M48" i="2"/>
  <c r="F49" i="3" s="1"/>
  <c r="L48" i="2"/>
  <c r="Q47" i="2"/>
  <c r="P47" i="2"/>
  <c r="O47" i="2"/>
  <c r="N47" i="2"/>
  <c r="M47" i="2"/>
  <c r="F48" i="3" s="1"/>
  <c r="L47" i="2"/>
  <c r="Q46" i="2"/>
  <c r="P46" i="2"/>
  <c r="O46" i="2"/>
  <c r="N46" i="2"/>
  <c r="M46" i="2"/>
  <c r="F47" i="3" s="1"/>
  <c r="L46" i="2"/>
  <c r="Q45" i="2"/>
  <c r="P45" i="2"/>
  <c r="O45" i="2"/>
  <c r="N45" i="2"/>
  <c r="M45" i="2"/>
  <c r="F46" i="3" s="1"/>
  <c r="L45" i="2"/>
  <c r="Q44" i="2"/>
  <c r="P44" i="2"/>
  <c r="O44" i="2"/>
  <c r="N44" i="2"/>
  <c r="M44" i="2"/>
  <c r="F45" i="3" s="1"/>
  <c r="L44" i="2"/>
  <c r="Q43" i="2"/>
  <c r="P43" i="2"/>
  <c r="O43" i="2"/>
  <c r="N43" i="2"/>
  <c r="M43" i="2"/>
  <c r="F44" i="3" s="1"/>
  <c r="L43" i="2"/>
  <c r="Q42" i="2"/>
  <c r="P42" i="2"/>
  <c r="O42" i="2"/>
  <c r="N42" i="2"/>
  <c r="M42" i="2"/>
  <c r="F43" i="3" s="1"/>
  <c r="L42" i="2"/>
  <c r="Q41" i="2"/>
  <c r="P41" i="2"/>
  <c r="O41" i="2"/>
  <c r="N41" i="2"/>
  <c r="M41" i="2"/>
  <c r="F42" i="3" s="1"/>
  <c r="L41" i="2"/>
  <c r="Q40" i="2"/>
  <c r="P40" i="2"/>
  <c r="O40" i="2"/>
  <c r="N40" i="2"/>
  <c r="M40" i="2"/>
  <c r="F41" i="3" s="1"/>
  <c r="L40" i="2"/>
  <c r="Q39" i="2"/>
  <c r="P39" i="2"/>
  <c r="O39" i="2"/>
  <c r="N39" i="2"/>
  <c r="M39" i="2"/>
  <c r="F40" i="3" s="1"/>
  <c r="L39" i="2"/>
  <c r="Q38" i="2"/>
  <c r="P38" i="2"/>
  <c r="O38" i="2"/>
  <c r="N38" i="2"/>
  <c r="M38" i="2"/>
  <c r="F39" i="3" s="1"/>
  <c r="L38" i="2"/>
  <c r="Q37" i="2"/>
  <c r="P37" i="2"/>
  <c r="O37" i="2"/>
  <c r="N37" i="2"/>
  <c r="M37" i="2"/>
  <c r="F38" i="3" s="1"/>
  <c r="L37" i="2"/>
  <c r="Q36" i="2"/>
  <c r="P36" i="2"/>
  <c r="O36" i="2"/>
  <c r="N36" i="2"/>
  <c r="M36" i="2"/>
  <c r="F37" i="3" s="1"/>
  <c r="L36" i="2"/>
  <c r="Q35" i="2"/>
  <c r="P35" i="2"/>
  <c r="O35" i="2"/>
  <c r="N35" i="2"/>
  <c r="M35" i="2"/>
  <c r="F36" i="3" s="1"/>
  <c r="L35" i="2"/>
  <c r="Q34" i="2"/>
  <c r="P34" i="2"/>
  <c r="O34" i="2"/>
  <c r="N34" i="2"/>
  <c r="M34" i="2"/>
  <c r="F35" i="3" s="1"/>
  <c r="L34" i="2"/>
  <c r="Q33" i="2"/>
  <c r="P33" i="2"/>
  <c r="O33" i="2"/>
  <c r="N33" i="2"/>
  <c r="M33" i="2"/>
  <c r="F34" i="3" s="1"/>
  <c r="L33" i="2"/>
  <c r="Q32" i="2"/>
  <c r="P32" i="2"/>
  <c r="O32" i="2"/>
  <c r="N32" i="2"/>
  <c r="M32" i="2"/>
  <c r="F33" i="3" s="1"/>
  <c r="L32" i="2"/>
  <c r="Q31" i="2"/>
  <c r="P31" i="2"/>
  <c r="O31" i="2"/>
  <c r="N31" i="2"/>
  <c r="M31" i="2"/>
  <c r="F32" i="3" s="1"/>
  <c r="L31" i="2"/>
  <c r="Q30" i="2"/>
  <c r="P30" i="2"/>
  <c r="O30" i="2"/>
  <c r="N30" i="2"/>
  <c r="M30" i="2"/>
  <c r="F31" i="3" s="1"/>
  <c r="L30" i="2"/>
  <c r="Q29" i="2"/>
  <c r="P29" i="2"/>
  <c r="O29" i="2"/>
  <c r="N29" i="2"/>
  <c r="M29" i="2"/>
  <c r="F30" i="3" s="1"/>
  <c r="L29" i="2"/>
  <c r="Q28" i="2"/>
  <c r="P28" i="2"/>
  <c r="O28" i="2"/>
  <c r="N28" i="2"/>
  <c r="M28" i="2"/>
  <c r="F29" i="3" s="1"/>
  <c r="L28" i="2"/>
  <c r="Q27" i="2"/>
  <c r="P27" i="2"/>
  <c r="O27" i="2"/>
  <c r="N27" i="2"/>
  <c r="M27" i="2"/>
  <c r="F28" i="3" s="1"/>
  <c r="L27" i="2"/>
  <c r="Q26" i="2"/>
  <c r="P26" i="2"/>
  <c r="O26" i="2"/>
  <c r="N26" i="2"/>
  <c r="M26" i="2"/>
  <c r="F27" i="3" s="1"/>
  <c r="L26" i="2"/>
  <c r="Q25" i="2"/>
  <c r="P25" i="2"/>
  <c r="O25" i="2"/>
  <c r="N25" i="2"/>
  <c r="M25" i="2"/>
  <c r="F26" i="3" s="1"/>
  <c r="L25" i="2"/>
  <c r="Q24" i="2"/>
  <c r="P24" i="2"/>
  <c r="O24" i="2"/>
  <c r="N24" i="2"/>
  <c r="M24" i="2"/>
  <c r="F25" i="3" s="1"/>
  <c r="L24" i="2"/>
  <c r="Q23" i="2"/>
  <c r="P23" i="2"/>
  <c r="O23" i="2"/>
  <c r="N23" i="2"/>
  <c r="M23" i="2"/>
  <c r="F24" i="3" s="1"/>
  <c r="L23" i="2"/>
  <c r="Q22" i="2"/>
  <c r="P22" i="2"/>
  <c r="O22" i="2"/>
  <c r="N22" i="2"/>
  <c r="M22" i="2"/>
  <c r="F23" i="3" s="1"/>
  <c r="L22" i="2"/>
  <c r="Q21" i="2"/>
  <c r="P21" i="2"/>
  <c r="O21" i="2"/>
  <c r="N21" i="2"/>
  <c r="M21" i="2"/>
  <c r="F22" i="3" s="1"/>
  <c r="L21" i="2"/>
  <c r="Q20" i="2"/>
  <c r="P20" i="2"/>
  <c r="O20" i="2"/>
  <c r="N20" i="2"/>
  <c r="M20" i="2"/>
  <c r="F21" i="3" s="1"/>
  <c r="L20" i="2"/>
  <c r="Q19" i="2"/>
  <c r="P19" i="2"/>
  <c r="O19" i="2"/>
  <c r="N19" i="2"/>
  <c r="M19" i="2"/>
  <c r="F20" i="3" s="1"/>
  <c r="L19" i="2"/>
  <c r="Q18" i="2"/>
  <c r="P18" i="2"/>
  <c r="O18" i="2"/>
  <c r="N18" i="2"/>
  <c r="M18" i="2"/>
  <c r="F19" i="3" s="1"/>
  <c r="L18" i="2"/>
  <c r="Q17" i="2"/>
  <c r="P17" i="2"/>
  <c r="O17" i="2"/>
  <c r="N17" i="2"/>
  <c r="M17" i="2"/>
  <c r="F18" i="3" s="1"/>
  <c r="L17" i="2"/>
  <c r="Q16" i="2"/>
  <c r="P16" i="2"/>
  <c r="O16" i="2"/>
  <c r="N16" i="2"/>
  <c r="M16" i="2"/>
  <c r="F17" i="3" s="1"/>
  <c r="L16" i="2"/>
  <c r="Q15" i="2"/>
  <c r="P15" i="2"/>
  <c r="O15" i="2"/>
  <c r="N15" i="2"/>
  <c r="M15" i="2"/>
  <c r="F16" i="3" s="1"/>
  <c r="L15" i="2"/>
  <c r="Q14" i="2"/>
  <c r="P14" i="2"/>
  <c r="O14" i="2"/>
  <c r="N14" i="2"/>
  <c r="M14" i="2"/>
  <c r="F15" i="3" s="1"/>
  <c r="L14" i="2"/>
  <c r="Q13" i="2"/>
  <c r="P13" i="2"/>
  <c r="O13" i="2"/>
  <c r="N13" i="2"/>
  <c r="M13" i="2"/>
  <c r="F14" i="3" s="1"/>
  <c r="L13" i="2"/>
  <c r="Q12" i="2"/>
  <c r="P12" i="2"/>
  <c r="O12" i="2"/>
  <c r="N12" i="2"/>
  <c r="M12" i="2"/>
  <c r="F13" i="3" s="1"/>
  <c r="L12" i="2"/>
  <c r="Q11" i="2"/>
  <c r="N11" i="2"/>
  <c r="M11" i="2"/>
  <c r="F12" i="3" s="1"/>
  <c r="L11" i="2"/>
  <c r="Q10" i="2"/>
  <c r="N10" i="2"/>
  <c r="M10" i="2"/>
  <c r="F11" i="3" s="1"/>
  <c r="L10" i="2"/>
  <c r="Q9" i="2"/>
  <c r="N9" i="2"/>
  <c r="M9" i="2"/>
  <c r="F10" i="3" s="1"/>
  <c r="L9" i="2"/>
  <c r="Q8" i="2"/>
  <c r="N8" i="2"/>
  <c r="M8" i="2"/>
  <c r="F9" i="3" s="1"/>
  <c r="L8" i="2"/>
  <c r="Q7" i="2"/>
  <c r="N7" i="2"/>
  <c r="M7" i="2"/>
  <c r="F8" i="3" s="1"/>
  <c r="L7" i="2"/>
  <c r="Q6" i="2"/>
  <c r="N6" i="2"/>
  <c r="M6" i="2"/>
  <c r="F7" i="3" s="1"/>
  <c r="L6" i="2"/>
  <c r="Q5" i="2"/>
  <c r="N5" i="2"/>
  <c r="M5" i="2"/>
  <c r="F6" i="3" s="1"/>
  <c r="L5" i="2"/>
  <c r="Q4" i="2"/>
  <c r="P4" i="2"/>
  <c r="O4" i="2"/>
  <c r="N4" i="2"/>
  <c r="M4" i="2"/>
  <c r="F5" i="3" s="1"/>
  <c r="L4" i="2"/>
  <c r="Q3" i="2"/>
  <c r="P3" i="2"/>
  <c r="O3" i="2"/>
  <c r="N3" i="2"/>
  <c r="M3" i="2"/>
  <c r="F4" i="3" s="1"/>
  <c r="L3" i="2"/>
  <c r="Q2" i="2"/>
  <c r="N2" i="2"/>
  <c r="P2" i="2" s="1"/>
  <c r="M2" i="2"/>
  <c r="B10" i="1" s="1"/>
  <c r="L2" i="2"/>
  <c r="E41" i="1"/>
  <c r="D41" i="1"/>
  <c r="C41" i="1"/>
  <c r="B41" i="1"/>
  <c r="A41" i="1"/>
  <c r="E40" i="1"/>
  <c r="D40" i="1"/>
  <c r="C40" i="1"/>
  <c r="B40" i="1"/>
  <c r="A40" i="1"/>
  <c r="E39" i="1"/>
  <c r="D39" i="1"/>
  <c r="C39" i="1"/>
  <c r="B39" i="1"/>
  <c r="A39" i="1"/>
  <c r="E38" i="1"/>
  <c r="D38" i="1"/>
  <c r="C38" i="1"/>
  <c r="B38" i="1"/>
  <c r="A38" i="1"/>
  <c r="E37" i="1"/>
  <c r="D37" i="1"/>
  <c r="C37" i="1"/>
  <c r="B37" i="1"/>
  <c r="A37" i="1"/>
  <c r="E36" i="1"/>
  <c r="D36" i="1"/>
  <c r="C36" i="1"/>
  <c r="B36" i="1"/>
  <c r="A36" i="1"/>
  <c r="E35" i="1"/>
  <c r="D35" i="1"/>
  <c r="C35" i="1"/>
  <c r="B35" i="1"/>
  <c r="A35" i="1"/>
  <c r="G34" i="1"/>
  <c r="F34" i="1"/>
  <c r="E34" i="1"/>
  <c r="D34" i="1"/>
  <c r="C34" i="1"/>
  <c r="B34" i="1"/>
  <c r="A34" i="1"/>
  <c r="G33" i="1"/>
  <c r="F33" i="1"/>
  <c r="E33" i="1"/>
  <c r="D33" i="1"/>
  <c r="C33" i="1"/>
  <c r="B33" i="1"/>
  <c r="A33" i="1"/>
  <c r="E32" i="1"/>
  <c r="D32" i="1"/>
  <c r="C32" i="1"/>
  <c r="B32" i="1"/>
  <c r="A32" i="1"/>
  <c r="B20" i="1"/>
  <c r="B19" i="1"/>
  <c r="B18" i="1"/>
  <c r="B17" i="1"/>
  <c r="F16" i="1"/>
  <c r="F15" i="1"/>
  <c r="F14" i="1"/>
  <c r="F13" i="1"/>
  <c r="B13" i="1"/>
  <c r="F12" i="1"/>
  <c r="B12" i="1"/>
  <c r="F11" i="1"/>
  <c r="B11" i="1"/>
  <c r="F10" i="1"/>
  <c r="G5" i="1"/>
  <c r="D5" i="1"/>
  <c r="A5" i="1"/>
  <c r="O11" i="2" l="1"/>
  <c r="F41" i="1" s="1"/>
  <c r="P11" i="2"/>
  <c r="G41" i="1" s="1"/>
  <c r="O10" i="2"/>
  <c r="F40" i="1" s="1"/>
  <c r="P10" i="2"/>
  <c r="G40" i="1" s="1"/>
  <c r="O9" i="2"/>
  <c r="F39" i="1" s="1"/>
  <c r="P9" i="2"/>
  <c r="G39" i="1" s="1"/>
  <c r="O8" i="2"/>
  <c r="F38" i="1" s="1"/>
  <c r="P8" i="2"/>
  <c r="G38" i="1" s="1"/>
  <c r="O7" i="2"/>
  <c r="F37" i="1" s="1"/>
  <c r="P7" i="2"/>
  <c r="G37" i="1" s="1"/>
  <c r="O6" i="2"/>
  <c r="F36" i="1" s="1"/>
  <c r="P6" i="2"/>
  <c r="G36" i="1" s="1"/>
  <c r="O5" i="2"/>
  <c r="F35" i="1" s="1"/>
  <c r="P5" i="2"/>
  <c r="J5" i="1"/>
  <c r="F25" i="1"/>
  <c r="G32" i="1"/>
  <c r="O2" i="2"/>
  <c r="F3" i="3"/>
  <c r="B25" i="1" l="1"/>
  <c r="F32" i="1"/>
  <c r="B27" i="1"/>
  <c r="B29" i="1"/>
  <c r="B26" i="1"/>
  <c r="B28" i="1"/>
  <c r="G35" i="1"/>
  <c r="F26" i="1"/>
  <c r="F27" i="1"/>
</calcChain>
</file>

<file path=xl/sharedStrings.xml><?xml version="1.0" encoding="utf-8"?>
<sst xmlns="http://schemas.openxmlformats.org/spreadsheetml/2006/main" count="694" uniqueCount="431">
  <si>
    <t>DASHBOARD DE GESTIÓN Y CARTA GANTT</t>
  </si>
  <si>
    <t>Control integrado de tareas administrativas, compras públicas, inventario, bodega, prevención y otros procesos</t>
  </si>
  <si>
    <t>Indicador</t>
  </si>
  <si>
    <t>Valor</t>
  </si>
  <si>
    <t>Meta/Referencia</t>
  </si>
  <si>
    <t>Estado</t>
  </si>
  <si>
    <t>Cantidad</t>
  </si>
  <si>
    <t>Avance promedio</t>
  </si>
  <si>
    <t>≥ 80%</t>
  </si>
  <si>
    <t>No iniciada</t>
  </si>
  <si>
    <t>Tareas críticas</t>
  </si>
  <si>
    <t>0 vencidas</t>
  </si>
  <si>
    <t>En curso</t>
  </si>
  <si>
    <t>Próximas 7 días</t>
  </si>
  <si>
    <t>Gestionar</t>
  </si>
  <si>
    <t>En espera</t>
  </si>
  <si>
    <t>Compras públicas activas</t>
  </si>
  <si>
    <t>Seguimiento</t>
  </si>
  <si>
    <t>Bloqueada</t>
  </si>
  <si>
    <t>Terminada</t>
  </si>
  <si>
    <t>Completada</t>
  </si>
  <si>
    <t>Prioridad</t>
  </si>
  <si>
    <t>Cancelada</t>
  </si>
  <si>
    <t>Crítica</t>
  </si>
  <si>
    <t>Alta</t>
  </si>
  <si>
    <t>Media</t>
  </si>
  <si>
    <t>Baja</t>
  </si>
  <si>
    <t>ALERTAS EJECUTIVAS</t>
  </si>
  <si>
    <t>Alerta</t>
  </si>
  <si>
    <t>Acción</t>
  </si>
  <si>
    <t>SEMÁFORO GENERAL</t>
  </si>
  <si>
    <t>Atrasadas</t>
  </si>
  <si>
    <t>Regularizar / reprogramar</t>
  </si>
  <si>
    <t>ROJO</t>
  </si>
  <si>
    <t>Urgentes (≤3 días)</t>
  </si>
  <si>
    <t>Prioridad inmediata</t>
  </si>
  <si>
    <t>AMARILLO</t>
  </si>
  <si>
    <t>Próximas (4–7 días)</t>
  </si>
  <si>
    <t>Preparar gestión</t>
  </si>
  <si>
    <t>VERDE</t>
  </si>
  <si>
    <t>Bloqueadas</t>
  </si>
  <si>
    <t>Resolver dependencia</t>
  </si>
  <si>
    <t>Procesos sin etapas</t>
  </si>
  <si>
    <t>Definir etapas</t>
  </si>
  <si>
    <t>PRÓXIMOS HITOS / VENCIMIENTOS</t>
  </si>
  <si>
    <t>ID</t>
  </si>
  <si>
    <t>Tarea</t>
  </si>
  <si>
    <t>Responsable</t>
  </si>
  <si>
    <t>Término</t>
  </si>
  <si>
    <t>Días reales</t>
  </si>
  <si>
    <t>Semáforo</t>
  </si>
  <si>
    <t>Nivel</t>
  </si>
  <si>
    <t>ID Proceso Padre</t>
  </si>
  <si>
    <t>Área / Unidad</t>
  </si>
  <si>
    <t>Proceso / Proyecto</t>
  </si>
  <si>
    <t>Etapa / Tarea</t>
  </si>
  <si>
    <t>Fecha inicio</t>
  </si>
  <si>
    <t>Fecha término planificada</t>
  </si>
  <si>
    <t>Duración
(días)</t>
  </si>
  <si>
    <t>% Avance
Automático</t>
  </si>
  <si>
    <t>Días restantes</t>
  </si>
  <si>
    <t>% Participación
automática</t>
  </si>
  <si>
    <t>Dependencia / Observación</t>
  </si>
  <si>
    <t>Hito Compra Pública</t>
  </si>
  <si>
    <t>N° Requerimiento / Licitación / OC</t>
  </si>
  <si>
    <t>Monto estimado</t>
  </si>
  <si>
    <t>Proveedor</t>
  </si>
  <si>
    <t>Próximo hito</t>
  </si>
  <si>
    <t>Fecha próximo hito</t>
  </si>
  <si>
    <t>Riesgo</t>
  </si>
  <si>
    <t>CP-001</t>
  </si>
  <si>
    <t>PROCESO</t>
  </si>
  <si>
    <t>Bienes y Servicios</t>
  </si>
  <si>
    <t>Adquisición de insumos</t>
  </si>
  <si>
    <t>Proceso completo de compra</t>
  </si>
  <si>
    <t>Oscar Arias</t>
  </si>
  <si>
    <t>El proceso llega a 100% sólo cuando sus etapas relacionadas alcanzan el 100%.</t>
  </si>
  <si>
    <t>REQ-2026-01</t>
  </si>
  <si>
    <t>Recepción conforme</t>
  </si>
  <si>
    <t>Alto</t>
  </si>
  <si>
    <t>CP-001.1</t>
  </si>
  <si>
    <t>ETAPA</t>
  </si>
  <si>
    <t>Revisar necesidad y especificaciones</t>
  </si>
  <si>
    <t>Etapa inicial</t>
  </si>
  <si>
    <t>Requerimiento</t>
  </si>
  <si>
    <t>Ver precios</t>
  </si>
  <si>
    <t>Bajo</t>
  </si>
  <si>
    <t>CP-001.2</t>
  </si>
  <si>
    <t>Ver precios y referencias de mercado</t>
  </si>
  <si>
    <t>Comparación referencial</t>
  </si>
  <si>
    <t>Cotización</t>
  </si>
  <si>
    <t>Revisar mecanismo de compra</t>
  </si>
  <si>
    <t>CP-001.3</t>
  </si>
  <si>
    <t>Revisar Convenio Marco / Compra Ágil</t>
  </si>
  <si>
    <t>Definir mecanismo procedente</t>
  </si>
  <si>
    <t>Definir modalidad</t>
  </si>
  <si>
    <t>Medio</t>
  </si>
  <si>
    <t>CP-001.4</t>
  </si>
  <si>
    <t>Preparar y aprobar requerimiento</t>
  </si>
  <si>
    <t>Depende de CP-001.3</t>
  </si>
  <si>
    <t>Enviar a aprobación</t>
  </si>
  <si>
    <t>CP-001.5</t>
  </si>
  <si>
    <t>Publicar / emitir proceso de compra</t>
  </si>
  <si>
    <t>Compras</t>
  </si>
  <si>
    <t>Depende de aprobación</t>
  </si>
  <si>
    <t>Publicación</t>
  </si>
  <si>
    <t>Evaluación</t>
  </si>
  <si>
    <t>CP-001.6</t>
  </si>
  <si>
    <t>Evaluación y adjudicación</t>
  </si>
  <si>
    <t>Depende de ofertas válidas</t>
  </si>
  <si>
    <t>Emitir OC</t>
  </si>
  <si>
    <t>CP-001.7</t>
  </si>
  <si>
    <t>Emitir y aceptar Orden de Compra</t>
  </si>
  <si>
    <t>OC debe ser aceptada</t>
  </si>
  <si>
    <t>OC emitida</t>
  </si>
  <si>
    <t>Controlar despacho</t>
  </si>
  <si>
    <t>CP-001.8</t>
  </si>
  <si>
    <t>Despacho, recepción conforme y cierre</t>
  </si>
  <si>
    <t>Cierre contra recepción conforme</t>
  </si>
  <si>
    <t>Cerrar proceso</t>
  </si>
  <si>
    <t>ADM-001</t>
  </si>
  <si>
    <t>Administración</t>
  </si>
  <si>
    <t>Gestión Administrativa</t>
  </si>
  <si>
    <t>Elaborar informe administrativo mensual</t>
  </si>
  <si>
    <t>Tarea única: el avance se calcula por el tiempo transcurrido entre inicio y término.</t>
  </si>
  <si>
    <t>Enviar informe</t>
  </si>
  <si>
    <t>CARTA GANTT DINÁMICA</t>
  </si>
  <si>
    <t>Inicio</t>
  </si>
  <si>
    <t>% Avance</t>
  </si>
  <si>
    <t>ESTADOS</t>
  </si>
  <si>
    <t>PRIORIDADES</t>
  </si>
  <si>
    <t>TIPOS</t>
  </si>
  <si>
    <t>AREAS</t>
  </si>
  <si>
    <t>RESPONSABLES</t>
  </si>
  <si>
    <t>HITOS COMPRA</t>
  </si>
  <si>
    <t>RIESGO</t>
  </si>
  <si>
    <t>DEPENDENCIA</t>
  </si>
  <si>
    <t>NIVEL</t>
  </si>
  <si>
    <t>MODO DE AVANCE</t>
  </si>
  <si>
    <t>Administrativa</t>
  </si>
  <si>
    <t>Sin dependencia</t>
  </si>
  <si>
    <t>Automático por etapas</t>
  </si>
  <si>
    <t>Compra Pública</t>
  </si>
  <si>
    <t>Finanzas</t>
  </si>
  <si>
    <t>Jefatura UA</t>
  </si>
  <si>
    <t>Depende de otra tarea</t>
  </si>
  <si>
    <t>Automático por fechas/estado</t>
  </si>
  <si>
    <t>Inventario</t>
  </si>
  <si>
    <t>RR.HH.</t>
  </si>
  <si>
    <t>Convenio Marco</t>
  </si>
  <si>
    <t>Depende de proveedor</t>
  </si>
  <si>
    <t>Bodega</t>
  </si>
  <si>
    <t>Prevención de Riesgos</t>
  </si>
  <si>
    <t>Compra Ágil</t>
  </si>
  <si>
    <t>Crítico</t>
  </si>
  <si>
    <t>Depende de jefatura</t>
  </si>
  <si>
    <t>Sin prioridad</t>
  </si>
  <si>
    <t>Prevención</t>
  </si>
  <si>
    <t>Bases/TDR</t>
  </si>
  <si>
    <t>Sin evaluar</t>
  </si>
  <si>
    <t>Depende de presupuesto</t>
  </si>
  <si>
    <t>Mantención</t>
  </si>
  <si>
    <t>Frontera</t>
  </si>
  <si>
    <t>Depende de recepción</t>
  </si>
  <si>
    <t>Vehículos</t>
  </si>
  <si>
    <t>Depende de tercero</t>
  </si>
  <si>
    <t>Pendiente de tercero</t>
  </si>
  <si>
    <t>Resoluciones</t>
  </si>
  <si>
    <t>Adjudicación</t>
  </si>
  <si>
    <t>En revisión</t>
  </si>
  <si>
    <t>TI</t>
  </si>
  <si>
    <t>Observada</t>
  </si>
  <si>
    <t>OC aceptada</t>
  </si>
  <si>
    <t>Suspendida</t>
  </si>
  <si>
    <t>Infraestructura</t>
  </si>
  <si>
    <t>Dirección Regional</t>
  </si>
  <si>
    <t>Jefatura Regional</t>
  </si>
  <si>
    <t>Despacho</t>
  </si>
  <si>
    <t>TI / Sistemas</t>
  </si>
  <si>
    <t>Otra</t>
  </si>
  <si>
    <t>Otro</t>
  </si>
  <si>
    <t>Capacitación</t>
  </si>
  <si>
    <t>Pago</t>
  </si>
  <si>
    <t>Terreno</t>
  </si>
  <si>
    <t>Cierre</t>
  </si>
  <si>
    <t>GUÍA RÁPIDA – SISTEMA DE PLANIFICACIÓN</t>
  </si>
  <si>
    <t>Paso</t>
  </si>
  <si>
    <t>Funcionamiento</t>
  </si>
  <si>
    <t>1</t>
  </si>
  <si>
    <t>Mantenga un ID principal de proceso, por ejemplo CP-001.</t>
  </si>
  <si>
    <t>2</t>
  </si>
  <si>
    <t>Las etapas relacionadas usan CP-001.1, CP-001.2, CP-001.3, etc. y deben indicar CP-001 en ID Proceso Padre.</t>
  </si>
  <si>
    <t>3</t>
  </si>
  <si>
    <t>% Participación automática se calcula solo: 2 etapas = 50% c/u; 3 = 33,33%; 4 = 25%; 5 = 20%; 10 = 10%.</t>
  </si>
  <si>
    <t>4</t>
  </si>
  <si>
    <t>Si agrega una nueva etapa al mismo proceso, Excel redistribuye automáticamente el porcentaje entre todas.</t>
  </si>
  <si>
    <t>5</t>
  </si>
  <si>
    <t>% Avance Automático del proceso es el promedio de todas sus etapas relacionadas.</t>
  </si>
  <si>
    <t>6</t>
  </si>
  <si>
    <t>Terminada o Completada = 100%. En curso avanza por fecha, pero nunca supera 99% hasta finalizar.</t>
  </si>
  <si>
    <t>7</t>
  </si>
  <si>
    <t>Duración (días) es un número de días entre inicio y término planificado; ya no se muestra como porcentaje.</t>
  </si>
  <si>
    <t>8</t>
  </si>
  <si>
    <t>Días restantes: positivo = días que faltan; negativo = días de atraso; al terminar = 0.</t>
  </si>
  <si>
    <t>9</t>
  </si>
  <si>
    <t>Semáforo: VERDE normal/terminada; AMARILLO vence dentro de 7 días; ROJO vence dentro de 3 días, está atrasada o bloqueada.</t>
  </si>
  <si>
    <t>10</t>
  </si>
  <si>
    <t>Alerta y semáforo se calculan automáticamente; no deben editarse manualmente.</t>
  </si>
  <si>
    <t>11</t>
  </si>
  <si>
    <t>Para una tarea única sin proceso padre, deje ID Proceso Padre vacío. El avance se calcula por fechas y estado, sin necesidad de asignar porcentaje.</t>
  </si>
  <si>
    <t>PROCEDIMIENTO DE LLENADO Y CONTROL – PLANIFICADOR GANTT</t>
  </si>
  <si>
    <t>Guía operativa para registrar procesos, etapas, fechas, responsables, compras públicas y utilizar correctamente los cálculos automáticos.</t>
  </si>
  <si>
    <t>1. OBJETIVO Y REGLAS GENERALES</t>
  </si>
  <si>
    <t>Objetivo</t>
  </si>
  <si>
    <t>Registrar y controlar en una sola planilla procesos administrativos, compras públicas y otras gestiones, visualizando avance, plazos, alertas y Carta Gantt.</t>
  </si>
  <si>
    <t>Regla 1</t>
  </si>
  <si>
    <t>Cada trabajo general debe tener un ID único. Ejemplo: CP-001 para una compra pública o ADM-001 para una tarea administrativa.</t>
  </si>
  <si>
    <t>Regla 2</t>
  </si>
  <si>
    <t>Si el trabajo contiene varias actividades, cree una fila PROCESO y luego filas ETAPA asociadas mediante la columna ID Proceso Padre.</t>
  </si>
  <si>
    <t>Regla 3</t>
  </si>
  <si>
    <t>No modificar manualmente las columnas automáticas: Duración, % Avance Automático, Días restantes, Alerta, Semáforo y % Participación automática.</t>
  </si>
  <si>
    <t>Regla 4</t>
  </si>
  <si>
    <t>Las fechas, estados y relaciones entre proceso/etapas deben mantenerse actualizadas; de ellas dependen los indicadores del Dashboard y la Carta Gantt.</t>
  </si>
  <si>
    <t>2. ORDEN RECOMENDADO DE LLENADO</t>
  </si>
  <si>
    <t>Paso 1</t>
  </si>
  <si>
    <t>Definir si el registro corresponde a un PROCESO completo o a una ETAPA/tarea.</t>
  </si>
  <si>
    <t>Paso 2</t>
  </si>
  <si>
    <t>Asignar ID. Para un proceso: CP-001. Para sus etapas: CP-001.1, CP-001.2, CP-001.3, etc.</t>
  </si>
  <si>
    <t>Paso 3</t>
  </si>
  <si>
    <t>En cada ETAPA relacionada, escribir el ID principal en ID Proceso Padre. Ej.: todas las etapas CP-001.x deben indicar CP-001.</t>
  </si>
  <si>
    <t>Paso 4</t>
  </si>
  <si>
    <t>Seleccionar Área, Responsable, Prioridad y Estado mediante las listas desplegables.</t>
  </si>
  <si>
    <t>Paso 5</t>
  </si>
  <si>
    <t>Ingresar Fecha inicio y Fecha término planificada. La duración y los días restantes se calculan automáticamente.</t>
  </si>
  <si>
    <t>Paso 6</t>
  </si>
  <si>
    <t>Completar antecedentes específicos: dependencia, hito de compra, N° de requerimiento/licitación/OC, monto, proveedor, próximo hito y riesgo.</t>
  </si>
  <si>
    <t>Paso 7</t>
  </si>
  <si>
    <t>Actualizar el Estado durante la ejecución. Cuando finalice, seleccionar Terminada o Completada.</t>
  </si>
  <si>
    <t>Paso 8</t>
  </si>
  <si>
    <t>Revisar Alerta, Semáforo, Dashboard y Carta Gantt. Estas secciones no requieren cálculo manual.</t>
  </si>
  <si>
    <t>3. INSTRUCCIÓN DETALLADA POR COLUMNA – HOJA “PLAN DE TAREAS”</t>
  </si>
  <si>
    <t>Col.</t>
  </si>
  <si>
    <t>Campo</t>
  </si>
  <si>
    <t>Tipo</t>
  </si>
  <si>
    <t>¿Quién llena?</t>
  </si>
  <si>
    <t>Qué se debe ingresar / origen</t>
  </si>
  <si>
    <t>Ejemplo</t>
  </si>
  <si>
    <t>Control / efecto</t>
  </si>
  <si>
    <t>Observación</t>
  </si>
  <si>
    <t>A</t>
  </si>
  <si>
    <t>Manual</t>
  </si>
  <si>
    <t>Usuario</t>
  </si>
  <si>
    <t>Código único que identifica el proceso o la etapa. No repetir IDs.</t>
  </si>
  <si>
    <t>CP-001 / CP-001.1</t>
  </si>
  <si>
    <t>Permite relacionar y rastrear las actividades.</t>
  </si>
  <si>
    <t>Use una nomenclatura estable por tipo de gestión.</t>
  </si>
  <si>
    <t>B</t>
  </si>
  <si>
    <t>Lista</t>
  </si>
  <si>
    <t>Seleccione PROCESO para el trabajo global o ETAPA para una actividad específica.</t>
  </si>
  <si>
    <t>Determina cómo se calcula el avance.</t>
  </si>
  <si>
    <t>Un proceso puede contener varias etapas.</t>
  </si>
  <si>
    <t>C</t>
  </si>
  <si>
    <t>En una ETAPA, indique el ID del proceso al que pertenece. En el PROCESO principal se deja vacío.</t>
  </si>
  <si>
    <t>Es la base del % Participación automática y del avance consolidado.</t>
  </si>
  <si>
    <t>Debe coincidir exactamente con el ID del proceso principal.</t>
  </si>
  <si>
    <t>D</t>
  </si>
  <si>
    <t>Seleccione la unidad responsable o relacionada con la gestión.</t>
  </si>
  <si>
    <t>Permite clasificar y filtrar el trabajo.</t>
  </si>
  <si>
    <t>La lista puede ampliarse en Configuracion.</t>
  </si>
  <si>
    <t>E</t>
  </si>
  <si>
    <t>Nombre general del proceso, proyecto o gestión.</t>
  </si>
  <si>
    <t>Agrupa visualmente las actividades.</t>
  </si>
  <si>
    <t>Mantenga el mismo nombre para todas las etapas del mismo proceso.</t>
  </si>
  <si>
    <t>F</t>
  </si>
  <si>
    <t>Describa claramente la actividad que debe ejecutarse.</t>
  </si>
  <si>
    <t>Es la descripción operativa de la tarea.</t>
  </si>
  <si>
    <t>Utilice verbos de acción: revisar, elaborar, publicar, recibir, etc.</t>
  </si>
  <si>
    <t>G</t>
  </si>
  <si>
    <t>Seleccione a la persona, unidad o tercero responsable.</t>
  </si>
  <si>
    <t>Permite seguimiento por responsable.</t>
  </si>
  <si>
    <t>Agregar nuevos responsables en Configuracion.</t>
  </si>
  <si>
    <t>H</t>
  </si>
  <si>
    <t>Clasifique la importancia: Crítica, Alta, Media, Baja, etc.</t>
  </si>
  <si>
    <t>Activa colores para facilitar priorización.</t>
  </si>
  <si>
    <t>Crítica debe reservarse para tareas con impacto relevante.</t>
  </si>
  <si>
    <t>I</t>
  </si>
  <si>
    <t>Actualizar según situación real: No iniciada, En curso, En espera, Bloqueada, Terminada, etc.</t>
  </si>
  <si>
    <t>Afecta avance, alertas y semáforo.</t>
  </si>
  <si>
    <t>Al finalizar use Terminada o Completada.</t>
  </si>
  <si>
    <t>J</t>
  </si>
  <si>
    <t>Fecha</t>
  </si>
  <si>
    <t>Fecha programada o efectiva de inicio de la actividad.</t>
  </si>
  <si>
    <t>26-10-2026</t>
  </si>
  <si>
    <t>Se utiliza en duración, avance y Gantt.</t>
  </si>
  <si>
    <t>Usar fecha real de Excel.</t>
  </si>
  <si>
    <t>K</t>
  </si>
  <si>
    <t>Fecha comprometida o estimada para terminar.</t>
  </si>
  <si>
    <t>30-10-2026</t>
  </si>
  <si>
    <t>Define vencimiento, días restantes y alertas.</t>
  </si>
  <si>
    <t>Actualizar solo si existe reprogramación formal.</t>
  </si>
  <si>
    <t>L</t>
  </si>
  <si>
    <t>Duración (días)</t>
  </si>
  <si>
    <t>FÓRMULA</t>
  </si>
  <si>
    <t>Automático</t>
  </si>
  <si>
    <t>No ingresar información. Calcula los días entre inicio y término planificado.</t>
  </si>
  <si>
    <t>5 días</t>
  </si>
  <si>
    <t>Mide duración planificada.</t>
  </si>
  <si>
    <t>No borrar la fórmula.</t>
  </si>
  <si>
    <t>M</t>
  </si>
  <si>
    <t>% Avance Automático</t>
  </si>
  <si>
    <t>No se escribe. Para ETAPAS se calcula por estado/fechas. Para PROCESOS consolida el avance de las etapas relacionadas.</t>
  </si>
  <si>
    <t>50%</t>
  </si>
  <si>
    <t>Alimenta Dashboard y Carta Gantt.</t>
  </si>
  <si>
    <t>Una etapa en curso no llega a 100% hasta marcarla terminada.</t>
  </si>
  <si>
    <t>N</t>
  </si>
  <si>
    <t>No se escribe. Fecha término menos fecha actual. Positivo=faltan días; negativo=atraso; terminado=0.</t>
  </si>
  <si>
    <t>-2</t>
  </si>
  <si>
    <t>Permite detectar vencimientos.</t>
  </si>
  <si>
    <t>Los colores cambian según cercanía o atraso.</t>
  </si>
  <si>
    <t>O</t>
  </si>
  <si>
    <t>No se escribe. Informa SIN ALERTA, PRÓXIMA, URGENTE, ATRASADA, BLOQUEADA, TERMINADA, etc.</t>
  </si>
  <si>
    <t>URGENTE</t>
  </si>
  <si>
    <t>Facilita gestión inmediata.</t>
  </si>
  <si>
    <t>Rojo requiere revisión prioritaria.</t>
  </si>
  <si>
    <t>P</t>
  </si>
  <si>
    <t>No se escribe. VERDE, AMARILLO o ROJO según plazo/estado.</t>
  </si>
  <si>
    <t>Resumen visual de situación.</t>
  </si>
  <si>
    <t>Rojo: atraso/bloqueo/≤3 días; amarillo: próximo; verde: normal.</t>
  </si>
  <si>
    <t>Q</t>
  </si>
  <si>
    <t>% Participación automática</t>
  </si>
  <si>
    <t>Se obtiene contando cuántas ETAPAS tienen el mismo ID Proceso Padre de la columna C.</t>
  </si>
  <si>
    <t>25%</t>
  </si>
  <si>
    <t>Distribuye el 100% entre las etapas relacionadas.</t>
  </si>
  <si>
    <t>4 etapas de CP-001 = 25% cada una; al agregar una quinta pasan a 20%.</t>
  </si>
  <si>
    <t>R</t>
  </si>
  <si>
    <t>Indique condición, requisito, dependencia o comentario necesario para ejecutar la tarea.</t>
  </si>
  <si>
    <t>Depende de aprobación de jefatura</t>
  </si>
  <si>
    <t>Ayuda a explicar bloqueos o condiciones.</t>
  </si>
  <si>
    <t>Sea breve y concreto.</t>
  </si>
  <si>
    <t>S</t>
  </si>
  <si>
    <t>Para compras, seleccione la etapa administrativa correspondiente.</t>
  </si>
  <si>
    <t>Permite conocer en qué fase está la adquisición.</t>
  </si>
  <si>
    <t>Puede dejarse vacío en tareas no asociadas a compras.</t>
  </si>
  <si>
    <t>T</t>
  </si>
  <si>
    <t>Ingrese identificador oficial disponible.</t>
  </si>
  <si>
    <t>1413007-XX-AG26</t>
  </si>
  <si>
    <t>Asegura trazabilidad documental.</t>
  </si>
  <si>
    <t>Actualizar cuando cambie de requerimiento a licitación/OC.</t>
  </si>
  <si>
    <t>U</t>
  </si>
  <si>
    <t>Moneda</t>
  </si>
  <si>
    <t>Monto estimado o referencial de la gestión, cuando corresponda.</t>
  </si>
  <si>
    <t>$3.500.000</t>
  </si>
  <si>
    <t>Apoya control financiero.</t>
  </si>
  <si>
    <t>Dejar vacío si no aplica.</t>
  </si>
  <si>
    <t>V</t>
  </si>
  <si>
    <t>Proveedor asociado cuando exista adjudicación/OC.</t>
  </si>
  <si>
    <t>Proveedor SPA</t>
  </si>
  <si>
    <t>Facilita seguimiento de entrega.</t>
  </si>
  <si>
    <t>Antes de adjudicar puede quedar vacío.</t>
  </si>
  <si>
    <t>W</t>
  </si>
  <si>
    <t>Indique la siguiente acción concreta que debe ocurrir.</t>
  </si>
  <si>
    <t>Emitir Orden de Compra</t>
  </si>
  <si>
    <t>Permite saber qué sigue.</t>
  </si>
  <si>
    <t>Debe actualizarse durante el proceso.</t>
  </si>
  <si>
    <t>X</t>
  </si>
  <si>
    <t>Fecha prevista para la siguiente acción.</t>
  </si>
  <si>
    <t>05-11-2026</t>
  </si>
  <si>
    <t>Apoya planificación.</t>
  </si>
  <si>
    <t>Útil para reuniones de seguimiento.</t>
  </si>
  <si>
    <t>Y</t>
  </si>
  <si>
    <t>Clasifique riesgo de incumplimiento o impacto.</t>
  </si>
  <si>
    <t>Apoya priorización preventiva.</t>
  </si>
  <si>
    <t>Revisar cuando cambien las condiciones.</t>
  </si>
  <si>
    <t>4. CÓMO FUNCIONA EL % PARTICIPACIÓN AUTOMÁTICA</t>
  </si>
  <si>
    <t>Concepto</t>
  </si>
  <si>
    <t>La columna Q se calcula exclusivamente a partir de la columna C “ID Proceso Padre”. El usuario NO asigna el porcentaje.</t>
  </si>
  <si>
    <t>Ejemplo 1</t>
  </si>
  <si>
    <t>CP-001 tiene CP-001.1 y CP-001.2. Ambas filas indican CP-001 en columna C. Resultado: 50% para cada etapa.</t>
  </si>
  <si>
    <t>Ejemplo 2</t>
  </si>
  <si>
    <t>Se agrega CP-001.3 con padre CP-001. Excel detecta 3 etapas. Resultado: 33,33% para cada una.</t>
  </si>
  <si>
    <t>Ejemplo 3</t>
  </si>
  <si>
    <t>Si CP-001 tiene 5 etapas, cada una representa 20%. Si tiene 10 etapas, cada una representa 10%.</t>
  </si>
  <si>
    <t>Importante</t>
  </si>
  <si>
    <t>El ID de la etapa (CP-001.1) por sí solo NO genera la relación. Para que el cálculo funcione, debe indicar CP-001 en la columna C de esa etapa.</t>
  </si>
  <si>
    <t>5. EJEMPLO COMPLETO – COMPRA PÚBLICA</t>
  </si>
  <si>
    <t>Participación</t>
  </si>
  <si>
    <t>—</t>
  </si>
  <si>
    <t>Definir necesidad y especificaciones</t>
  </si>
  <si>
    <t>20%</t>
  </si>
  <si>
    <t>Ver precios y referencias</t>
  </si>
  <si>
    <t>Preparar requerimiento</t>
  </si>
  <si>
    <t>Emitir OC / recepción conforme</t>
  </si>
  <si>
    <t>6. INTERPRETACIÓN DE ALERTAS Y COLORES</t>
  </si>
  <si>
    <t>Tarea normal o terminada.</t>
  </si>
  <si>
    <t>Mantener seguimiento regular.</t>
  </si>
  <si>
    <t>Tarea próxima a vencer (aprox. 4–7 días).</t>
  </si>
  <si>
    <t>Preparar gestión y verificar dependencias.</t>
  </si>
  <si>
    <t>Tarea atrasada, bloqueada o con vencimiento inmediato.</t>
  </si>
  <si>
    <t>Gestionar con prioridad y registrar causa/acción.</t>
  </si>
  <si>
    <t>Prioridad de alto impacto.</t>
  </si>
  <si>
    <t>Debe revisarse primero en el seguimiento.</t>
  </si>
  <si>
    <t>No puede continuar por una dependencia.</t>
  </si>
  <si>
    <t>Registrar causa en Dependencia / Observación y gestionar desbloqueo.</t>
  </si>
  <si>
    <t>7. ERRORES FRECUENTES QUE DEBEN EVITARSE</t>
  </si>
  <si>
    <t>Escribir manualmente en columnas de fórmula (L a Q).</t>
  </si>
  <si>
    <t>Puede eliminar o alterar los cálculos automáticos.</t>
  </si>
  <si>
    <t>Crear CP-001.1 pero dejar vacío ID Proceso Padre.</t>
  </si>
  <si>
    <t>La etapa no será considerada en la participación ni en el avance de CP-001.</t>
  </si>
  <si>
    <t>Repetir el mismo ID en dos filas.</t>
  </si>
  <si>
    <t>Genera problemas de trazabilidad.</t>
  </si>
  <si>
    <t>No actualizar Estado.</t>
  </si>
  <si>
    <t>El avance, alertas y Dashboard dejarán de representar la situación real.</t>
  </si>
  <si>
    <t>Ingresar fechas como texto.</t>
  </si>
  <si>
    <t>Puede impedir cálculos de duración y vencimiento.</t>
  </si>
  <si>
    <t>Agregar una categoría escribiéndola directamente sin incorporarla en Configuracion.</t>
  </si>
  <si>
    <t>Para mantener consistencia, agregue nuevos parámetros primero en la hoja Configuracion.</t>
  </si>
  <si>
    <t>8. CÓMO AGREGAR NUEVOS ÍTEMS A LAS LISTAS DESPLEGABLES</t>
  </si>
  <si>
    <t>Ir a la hoja Configuracion.</t>
  </si>
  <si>
    <t>Ubicar la columna correspondiente: Estados, Prioridades, Tipos, Áreas, Responsables, Hitos Compra, Riesgo, Dependencia, etc.</t>
  </si>
  <si>
    <t>Escribir el nuevo parámetro en la primera fila vacía disponible, sin dejar espacios intermedios.</t>
  </si>
  <si>
    <t>Volver a Plan de Tareas y abrir la lista desplegable. La planilla está preparada con rangos ampliados para incorporar nuevos parámetros.</t>
  </si>
  <si>
    <t>No eliminar los encabezados de Configuracion ni cambiar el nombre de la hoja, ya que las validaciones dependen de ella.</t>
  </si>
  <si>
    <t>9. CHECKLIST ANTES DE CERRAR O REPORTAR UN PROCESO</t>
  </si>
  <si>
    <t>☐</t>
  </si>
  <si>
    <t>Todos los procesos y etapas tienen ID único.</t>
  </si>
  <si>
    <t>Cada etapa relacionada tiene correctamente informado su ID Proceso Padre.</t>
  </si>
  <si>
    <t>Responsable, prioridad y estado están actualizados.</t>
  </si>
  <si>
    <t>Fechas de inicio y término planificado son correctas.</t>
  </si>
  <si>
    <t>Se revisaron alertas rojas y amarillas.</t>
  </si>
  <si>
    <t>En compras públicas se actualizó hito, número de proceso/OC, proveedor y próximo hito.</t>
  </si>
  <si>
    <t>Se revisó Dashboard y Carta Gantt antes de informar avance.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</si>
</sst>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\-yyyy"/>
    <numFmt numFmtId="165" formatCode="\$#,##0"/>
    <numFmt numFmtId="166" formatCode="dd\-mmm"/>
    <numFmt numFmtId="167" formatCode="0&quot;%&quot;"/>
  </numFmts>
  <fonts count="19">
    <font>
      <sz val="11"/>
      <name val="Carlito"/>
    </font>
    <font>
      <b/>
      <sz val="11"/>
      <color rgb="FFFFFFFF"/>
      <name val="Carlito"/>
    </font>
    <font>
      <b/>
      <sz val="10"/>
      <color rgb="FFFFFFFF"/>
      <name val="Carlito"/>
    </font>
    <font>
      <b/>
      <sz val="9"/>
      <color rgb="FFFFFFFF"/>
      <name val="Arial"/>
    </font>
    <font>
      <sz val="9"/>
      <name val="Arial"/>
    </font>
    <font>
      <b/>
      <sz val="9"/>
      <color rgb="FF17365D"/>
      <name val="Arial"/>
    </font>
    <font>
      <b/>
      <sz val="10"/>
      <color rgb="FFFFFFFF"/>
      <name val="Arial"/>
    </font>
    <font>
      <i/>
      <sz val="10"/>
      <color rgb="FF17365D"/>
      <name val="Arial"/>
    </font>
    <font>
      <sz val="10"/>
      <name val="Arial"/>
    </font>
    <font>
      <b/>
      <sz val="10"/>
      <color rgb="FF17365D"/>
      <name val="Arial"/>
    </font>
    <font>
      <b/>
      <sz val="10"/>
      <color rgb="FF7F6000"/>
      <name val="Arial"/>
    </font>
    <font>
      <b/>
      <sz val="10"/>
      <color rgb="FF375623"/>
      <name val="Arial"/>
    </font>
    <font>
      <b/>
      <sz val="10"/>
      <color rgb="FFC00000"/>
      <name val="Arial"/>
    </font>
    <font>
      <b/>
      <sz val="10"/>
      <name val="Arial"/>
    </font>
    <font>
      <i/>
      <sz val="9"/>
      <color rgb="FF17365D"/>
      <name val="Arial"/>
    </font>
    <font>
      <b/>
      <sz val="9"/>
      <color rgb="FF375623"/>
      <name val="Arial"/>
    </font>
    <font>
      <b/>
      <sz val="9"/>
      <color rgb="FF7F6000"/>
      <name val="Arial"/>
    </font>
    <font>
      <b/>
      <sz val="9"/>
      <color rgb="FF9C0006"/>
      <name val="Arial"/>
    </font>
    <font>
      <b/>
      <sz val="9"/>
      <color rgb="FFC00000"/>
      <name val="Arial"/>
    </font>
  </fonts>
  <fills count="2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4CCCC"/>
      </patternFill>
    </fill>
    <fill>
      <patternFill patternType="solid">
        <fgColor rgb="FFC00000"/>
      </patternFill>
    </fill>
    <fill>
      <patternFill patternType="solid">
        <fgColor rgb="FFF8CBAD"/>
      </patternFill>
    </fill>
    <fill>
      <patternFill patternType="solid">
        <fgColor rgb="FFE4DFEC"/>
      </patternFill>
    </fill>
    <fill>
      <patternFill patternType="solid">
        <fgColor rgb="FFFFD966"/>
      </patternFill>
    </fill>
    <fill>
      <patternFill patternType="solid">
        <fgColor rgb="FF70AD47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70AD47"/>
      </patternFill>
    </fill>
    <fill>
      <patternFill patternType="solid">
        <fgColor rgb="FFFFD966"/>
      </patternFill>
    </fill>
    <fill>
      <patternFill patternType="solid">
        <fgColor rgb="FFC00000"/>
      </patternFill>
    </fill>
    <fill>
      <patternFill patternType="solid">
        <fgColor rgb="FFF4CCCC"/>
      </patternFill>
    </fill>
  </fills>
  <borders count="10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64" fontId="4" fillId="0" borderId="0" xfId="0" applyNumberFormat="1" applyFont="1" applyAlignment="1">
      <alignment vertical="center"/>
    </xf>
    <xf numFmtId="9" fontId="4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0" fontId="3" fillId="3" borderId="0" xfId="0" applyFont="1" applyFill="1" applyAlignment="1">
      <alignment horizontal="center"/>
    </xf>
    <xf numFmtId="166" fontId="5" fillId="4" borderId="0" xfId="0" applyNumberFormat="1" applyFont="1" applyFill="1" applyAlignment="1">
      <alignment horizontal="center"/>
    </xf>
    <xf numFmtId="164" fontId="4" fillId="0" borderId="0" xfId="0" applyNumberFormat="1" applyFont="1"/>
    <xf numFmtId="9" fontId="4" fillId="0" borderId="0" xfId="0" applyNumberFormat="1" applyFont="1"/>
    <xf numFmtId="0" fontId="4" fillId="0" borderId="0" xfId="0" applyFont="1" applyAlignment="1">
      <alignment wrapText="1"/>
    </xf>
    <xf numFmtId="0" fontId="8" fillId="0" borderId="0" xfId="0" applyFont="1"/>
    <xf numFmtId="0" fontId="6" fillId="3" borderId="0" xfId="0" applyFont="1" applyFill="1"/>
    <xf numFmtId="9" fontId="8" fillId="0" borderId="0" xfId="0" applyNumberFormat="1" applyFont="1"/>
    <xf numFmtId="164" fontId="8" fillId="0" borderId="0" xfId="0" applyNumberFormat="1" applyFont="1"/>
    <xf numFmtId="0" fontId="8" fillId="0" borderId="0" xfId="0" applyFont="1" applyAlignment="1">
      <alignment wrapText="1"/>
    </xf>
    <xf numFmtId="167" fontId="4" fillId="0" borderId="0" xfId="0" applyNumberFormat="1" applyFont="1" applyAlignment="1">
      <alignment vertical="center" wrapText="1"/>
    </xf>
    <xf numFmtId="0" fontId="6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10" fontId="4" fillId="0" borderId="0" xfId="0" applyNumberFormat="1" applyFont="1" applyAlignment="1">
      <alignment vertical="center"/>
    </xf>
    <xf numFmtId="1" fontId="4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 wrapText="1"/>
    </xf>
    <xf numFmtId="0" fontId="6" fillId="6" borderId="0" xfId="0" applyFont="1" applyFill="1" applyAlignment="1">
      <alignment horizontal="center" vertical="center" wrapText="1"/>
    </xf>
    <xf numFmtId="0" fontId="6" fillId="7" borderId="0" xfId="0" applyFont="1" applyFill="1"/>
    <xf numFmtId="0" fontId="6" fillId="7" borderId="0" xfId="0" applyFont="1" applyFill="1" applyAlignment="1">
      <alignment wrapText="1"/>
    </xf>
    <xf numFmtId="0" fontId="1" fillId="8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/>
    </xf>
    <xf numFmtId="0" fontId="6" fillId="8" borderId="1" xfId="0" applyFont="1" applyFill="1" applyBorder="1"/>
    <xf numFmtId="0" fontId="6" fillId="8" borderId="2" xfId="0" applyFont="1" applyFill="1" applyBorder="1"/>
    <xf numFmtId="0" fontId="6" fillId="8" borderId="3" xfId="0" applyFont="1" applyFill="1" applyBorder="1"/>
    <xf numFmtId="0" fontId="8" fillId="12" borderId="4" xfId="0" applyFont="1" applyFill="1" applyBorder="1"/>
    <xf numFmtId="0" fontId="8" fillId="12" borderId="5" xfId="0" applyFont="1" applyFill="1" applyBorder="1"/>
    <xf numFmtId="0" fontId="8" fillId="14" borderId="4" xfId="0" applyFont="1" applyFill="1" applyBorder="1"/>
    <xf numFmtId="0" fontId="8" fillId="14" borderId="5" xfId="0" applyFont="1" applyFill="1" applyBorder="1"/>
    <xf numFmtId="0" fontId="8" fillId="10" borderId="4" xfId="0" applyFont="1" applyFill="1" applyBorder="1"/>
    <xf numFmtId="0" fontId="8" fillId="10" borderId="5" xfId="0" applyFont="1" applyFill="1" applyBorder="1"/>
    <xf numFmtId="0" fontId="8" fillId="15" borderId="6" xfId="0" applyFont="1" applyFill="1" applyBorder="1"/>
    <xf numFmtId="0" fontId="8" fillId="15" borderId="8" xfId="0" applyFont="1" applyFill="1" applyBorder="1"/>
    <xf numFmtId="0" fontId="6" fillId="13" borderId="0" xfId="0" applyFont="1" applyFill="1"/>
    <xf numFmtId="0" fontId="10" fillId="16" borderId="0" xfId="0" applyFont="1" applyFill="1"/>
    <xf numFmtId="0" fontId="6" fillId="17" borderId="0" xfId="0" applyFont="1" applyFill="1"/>
    <xf numFmtId="0" fontId="13" fillId="12" borderId="0" xfId="0" applyFont="1" applyFill="1"/>
    <xf numFmtId="0" fontId="13" fillId="14" borderId="0" xfId="0" applyFont="1" applyFill="1"/>
    <xf numFmtId="0" fontId="13" fillId="10" borderId="0" xfId="0" applyFont="1" applyFill="1"/>
    <xf numFmtId="0" fontId="13" fillId="15" borderId="7" xfId="0" applyFont="1" applyFill="1" applyBorder="1"/>
    <xf numFmtId="0" fontId="5" fillId="19" borderId="0" xfId="0" applyFont="1" applyFill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15" fillId="21" borderId="0" xfId="0" applyFont="1" applyFill="1" applyAlignment="1">
      <alignment vertical="top"/>
    </xf>
    <xf numFmtId="0" fontId="3" fillId="20" borderId="0" xfId="0" applyFont="1" applyFill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21" borderId="0" xfId="0" applyFont="1" applyFill="1" applyAlignment="1">
      <alignment horizontal="center" vertical="top" wrapText="1"/>
    </xf>
    <xf numFmtId="0" fontId="4" fillId="21" borderId="0" xfId="0" applyFont="1" applyFill="1" applyAlignment="1">
      <alignment vertical="top" wrapText="1"/>
    </xf>
    <xf numFmtId="0" fontId="15" fillId="21" borderId="0" xfId="0" applyFont="1" applyFill="1" applyAlignment="1">
      <alignment horizontal="center" vertical="top" wrapText="1"/>
    </xf>
    <xf numFmtId="0" fontId="16" fillId="22" borderId="0" xfId="0" applyFont="1" applyFill="1" applyAlignment="1">
      <alignment vertical="top"/>
    </xf>
    <xf numFmtId="0" fontId="3" fillId="20" borderId="0" xfId="0" applyFont="1" applyFill="1" applyAlignment="1">
      <alignment horizontal="center" vertical="top"/>
    </xf>
    <xf numFmtId="0" fontId="3" fillId="23" borderId="0" xfId="0" applyFont="1" applyFill="1" applyAlignment="1">
      <alignment vertical="top"/>
    </xf>
    <xf numFmtId="0" fontId="16" fillId="24" borderId="0" xfId="0" applyFont="1" applyFill="1" applyAlignment="1">
      <alignment vertical="top"/>
    </xf>
    <xf numFmtId="0" fontId="3" fillId="25" borderId="0" xfId="0" applyFont="1" applyFill="1" applyAlignment="1">
      <alignment vertical="top"/>
    </xf>
    <xf numFmtId="0" fontId="17" fillId="26" borderId="0" xfId="0" applyFont="1" applyFill="1" applyAlignment="1">
      <alignment vertical="top"/>
    </xf>
    <xf numFmtId="0" fontId="18" fillId="26" borderId="0" xfId="0" applyFont="1" applyFill="1" applyAlignment="1">
      <alignment horizontal="center" vertical="top"/>
    </xf>
    <xf numFmtId="0" fontId="5" fillId="19" borderId="0" xfId="0" applyFont="1" applyFill="1" applyAlignment="1">
      <alignment horizontal="center" vertical="top"/>
    </xf>
    <xf numFmtId="0" fontId="15" fillId="0" borderId="0" xfId="0" applyFont="1" applyAlignment="1">
      <alignment vertical="top"/>
    </xf>
    <xf numFmtId="0" fontId="15" fillId="0" borderId="9" xfId="0" applyFont="1" applyBorder="1" applyAlignment="1">
      <alignment vertical="top"/>
    </xf>
    <xf numFmtId="0" fontId="4" fillId="0" borderId="9" xfId="0" applyFont="1" applyBorder="1" applyAlignment="1">
      <alignment vertical="top" wrapText="1"/>
    </xf>
    <xf numFmtId="0" fontId="4" fillId="0" borderId="9" xfId="0" applyFont="1" applyBorder="1" applyAlignment="1">
      <alignment vertical="top"/>
    </xf>
    <xf numFmtId="0" fontId="6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/>
    </xf>
    <xf numFmtId="0" fontId="9" fillId="9" borderId="0" xfId="0" applyFont="1" applyFill="1" applyAlignment="1">
      <alignment horizontal="center" vertical="center" wrapText="1"/>
    </xf>
    <xf numFmtId="0" fontId="10" fillId="10" borderId="0" xfId="0" applyFont="1" applyFill="1" applyAlignment="1">
      <alignment horizontal="center" vertical="center" wrapText="1"/>
    </xf>
    <xf numFmtId="0" fontId="11" fillId="11" borderId="0" xfId="0" applyFont="1" applyFill="1" applyAlignment="1">
      <alignment horizontal="center" vertical="center" wrapText="1"/>
    </xf>
    <xf numFmtId="0" fontId="12" fillId="1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0" fontId="6" fillId="13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18" borderId="0" xfId="0" applyFont="1" applyFill="1" applyAlignment="1">
      <alignment horizontal="center" vertical="top"/>
    </xf>
    <xf numFmtId="0" fontId="14" fillId="19" borderId="0" xfId="0" applyFont="1" applyFill="1" applyAlignment="1">
      <alignment horizontal="center" vertical="top" wrapText="1"/>
    </xf>
    <xf numFmtId="0" fontId="3" fillId="20" borderId="0" xfId="0" applyFont="1" applyFill="1" applyAlignment="1">
      <alignment vertical="top"/>
    </xf>
    <xf numFmtId="0" fontId="3" fillId="18" borderId="0" xfId="0" applyFont="1" applyFill="1" applyAlignment="1">
      <alignment vertical="top"/>
    </xf>
    <xf numFmtId="0" fontId="3" fillId="25" borderId="0" xfId="0" applyFont="1" applyFill="1" applyAlignment="1">
      <alignment vertical="top"/>
    </xf>
  </cellXfs>
  <cellStyles count="1">
    <cellStyle name="Normal" xfId="0" builtinId="0"/>
  </cellStyles>
  <dxfs count="32">
    <dxf>
      <fill>
        <patternFill>
          <bgColor rgb="FF70AD47"/>
        </patternFill>
      </fill>
    </dxf>
    <dxf>
      <fill>
        <patternFill>
          <bgColor rgb="FF2F75B5"/>
        </patternFill>
      </fill>
    </dxf>
    <dxf>
      <font>
        <b/>
        <color rgb="FFC00000"/>
      </font>
    </dxf>
    <dxf>
      <font>
        <b/>
        <color rgb="FFFFFFFF"/>
      </font>
      <fill>
        <patternFill>
          <bgColor rgb="FF70AD47"/>
        </patternFill>
      </fill>
    </dxf>
    <dxf>
      <font>
        <b/>
        <color rgb="FF7F6000"/>
      </font>
      <fill>
        <patternFill>
          <bgColor rgb="FFFFD966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color rgb="FF375623"/>
      </font>
      <fill>
        <patternFill>
          <bgColor rgb="FFE2F0D9"/>
        </patternFill>
      </fill>
    </dxf>
    <dxf>
      <font>
        <b/>
        <color rgb="FFFFFFFF"/>
      </font>
      <fill>
        <patternFill>
          <bgColor rgb="FF70AD47"/>
        </patternFill>
      </fill>
    </dxf>
    <dxf>
      <font>
        <b/>
        <color rgb="FF7F6000"/>
      </font>
      <fill>
        <patternFill>
          <bgColor rgb="FFFFD966"/>
        </patternFill>
      </fill>
    </dxf>
    <dxf>
      <font>
        <b/>
        <color rgb="FF7F0000"/>
      </font>
      <fill>
        <patternFill>
          <bgColor rgb="FFF8696B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7F6000"/>
      </font>
      <fill>
        <patternFill>
          <bgColor rgb="FFFFD966"/>
        </patternFill>
      </fill>
    </dxf>
    <dxf>
      <font>
        <b/>
        <color rgb="FF7F0000"/>
      </font>
      <fill>
        <patternFill>
          <bgColor rgb="FFF8696B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7030A0"/>
      </font>
      <fill>
        <patternFill>
          <bgColor rgb="FFE4DFEC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17365D"/>
      </font>
      <fill>
        <patternFill>
          <bgColor rgb="FFBDD7E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0000"/>
      </font>
      <fill>
        <patternFill>
          <bgColor rgb="FFF4B183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C00000"/>
      </font>
      <fill>
        <patternFill>
          <bgColor rgb="FFF4CCCC"/>
        </patternFill>
      </fill>
    </dxf>
    <dxf>
      <font>
        <b/>
        <color rgb="FF17365D"/>
      </font>
      <fill>
        <patternFill>
          <bgColor rgb="FFD9EAF7"/>
        </patternFill>
      </fill>
    </dxf>
    <dxf>
      <fill>
        <patternFill>
          <bgColor rgb="FF63BE7B"/>
        </patternFill>
      </fill>
    </dxf>
    <dxf>
      <fill>
        <patternFill>
          <bgColor rgb="FFFFEB84"/>
        </patternFill>
      </fill>
    </dxf>
    <dxf>
      <fill>
        <patternFill>
          <bgColor rgb="FFF8696B"/>
        </patternFill>
      </fill>
    </dxf>
    <dxf>
      <fill>
        <patternFill>
          <bgColor rgb="FFE2F0D9"/>
        </patternFill>
      </fill>
    </dxf>
    <dxf>
      <font>
        <b/>
      </font>
      <fill>
        <patternFill>
          <bgColor rgb="FFFFF2CC"/>
        </patternFill>
      </fill>
    </dxf>
    <dxf>
      <font>
        <b/>
        <color rgb="FFC00000"/>
      </font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CL"/>
              <a:t>Tareas por Estado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invertIfNegative val="1"/>
          <c:cat>
            <c:strRef>
              <c:f>Dashboard!$E$10:$E$15</c:f>
              <c:strCache>
                <c:ptCount val="6"/>
                <c:pt idx="0">
                  <c:v>No iniciada</c:v>
                </c:pt>
                <c:pt idx="1">
                  <c:v>En curso</c:v>
                </c:pt>
                <c:pt idx="2">
                  <c:v>En espera</c:v>
                </c:pt>
                <c:pt idx="3">
                  <c:v>Bloqueada</c:v>
                </c:pt>
                <c:pt idx="4">
                  <c:v>Terminada</c:v>
                </c:pt>
                <c:pt idx="5">
                  <c:v>Completada</c:v>
                </c:pt>
              </c:strCache>
            </c:strRef>
          </c:cat>
          <c:val>
            <c:numRef>
              <c:f>Dashboard!$F$10:$F$15</c:f>
              <c:numCache>
                <c:formatCode>General</c:formatCode>
                <c:ptCount val="6"/>
                <c:pt idx="0">
                  <c:v>5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9E-4EEC-8E4D-45E23FB14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CL"/>
              <a:t>Carga por Prioridad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invertIfNegative val="1"/>
          <c:cat>
            <c:strRef>
              <c:f>Dashboard!$A$17:$A$20</c:f>
              <c:strCache>
                <c:ptCount val="4"/>
                <c:pt idx="0">
                  <c:v>Crítica</c:v>
                </c:pt>
                <c:pt idx="1">
                  <c:v>Alta</c:v>
                </c:pt>
                <c:pt idx="2">
                  <c:v>Media</c:v>
                </c:pt>
                <c:pt idx="3">
                  <c:v>Baja</c:v>
                </c:pt>
              </c:strCache>
            </c:strRef>
          </c:cat>
          <c:val>
            <c:numRef>
              <c:f>Dashboard!$B$17:$B$20</c:f>
              <c:numCache>
                <c:formatCode>General</c:formatCode>
                <c:ptCount val="4"/>
                <c:pt idx="0">
                  <c:v>3</c:v>
                </c:pt>
                <c:pt idx="1">
                  <c:v>6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19-470B-8B77-BCA1B135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8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15</xdr:row>
      <xdr:rowOff>0</xdr:rowOff>
    </xdr:from>
    <xdr:to>
      <xdr:col>7</xdr:col>
      <xdr:colOff>0</xdr:colOff>
      <xdr:row>28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nTareas" displayName="PlanTareas" ref="A1:X301" totalsRowShown="0">
  <tableColumns count="24">
    <tableColumn id="1" xr3:uid="{00000000-0010-0000-0000-000001000000}" name="ID"/>
    <tableColumn id="2" xr3:uid="{00000000-0010-0000-0000-000002000000}" name="Tipo"/>
    <tableColumn id="3" xr3:uid="{00000000-0010-0000-0000-000003000000}" name="Área / Unidad"/>
    <tableColumn id="4" xr3:uid="{00000000-0010-0000-0000-000004000000}" name="Proyecto / Proceso"/>
    <tableColumn id="5" xr3:uid="{00000000-0010-0000-0000-000005000000}" name="Tarea / Actividad"/>
    <tableColumn id="6" xr3:uid="{00000000-0010-0000-0000-000006000000}" name="Responsable"/>
    <tableColumn id="7" xr3:uid="{00000000-0010-0000-0000-000007000000}" name="Prioridad"/>
    <tableColumn id="8" xr3:uid="{00000000-0010-0000-0000-000008000000}" name="Estado"/>
    <tableColumn id="9" xr3:uid="{00000000-0010-0000-0000-000009000000}" name="Fecha inicio"/>
    <tableColumn id="10" xr3:uid="{00000000-0010-0000-0000-00000A000000}" name="Fecha término"/>
    <tableColumn id="11" xr3:uid="{00000000-0010-0000-0000-00000B000000}" name="Duración (días)"/>
    <tableColumn id="12" xr3:uid="{00000000-0010-0000-0000-00000C000000}" name="% Avance"/>
    <tableColumn id="13" xr3:uid="{00000000-0010-0000-0000-00000D000000}" name="Días restantes"/>
    <tableColumn id="14" xr3:uid="{00000000-0010-0000-0000-00000E000000}" name="Semáforo"/>
    <tableColumn id="15" xr3:uid="{00000000-0010-0000-0000-00000F000000}" name="ID Predecesora"/>
    <tableColumn id="16" xr3:uid="{00000000-0010-0000-0000-000010000000}" name="Dependencia / Observación"/>
    <tableColumn id="17" xr3:uid="{00000000-0010-0000-0000-000011000000}" name="Hito Compra Pública"/>
    <tableColumn id="18" xr3:uid="{00000000-0010-0000-0000-000012000000}" name="N° Requerimiento / Licitación / OC"/>
    <tableColumn id="19" xr3:uid="{00000000-0010-0000-0000-000013000000}" name="Monto estimado"/>
    <tableColumn id="20" xr3:uid="{00000000-0010-0000-0000-000014000000}" name="Proveedor"/>
    <tableColumn id="21" xr3:uid="{00000000-0010-0000-0000-000015000000}" name="Próximo hito"/>
    <tableColumn id="22" xr3:uid="{00000000-0010-0000-0000-000016000000}" name="Fecha próximo hito"/>
    <tableColumn id="23" xr3:uid="{00000000-0010-0000-0000-000017000000}" name="Riesgo"/>
    <tableColumn id="24" xr3:uid="{00000000-0010-0000-0000-000018000000}" name="Última actualiz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tabSelected="1" workbookViewId="0">
      <pane ySplit="3" topLeftCell="A22" activePane="bottomLeft" state="frozen"/>
      <selection pane="bottomLeft" sqref="A1:L2"/>
    </sheetView>
  </sheetViews>
  <sheetFormatPr baseColWidth="10" defaultColWidth="9" defaultRowHeight="14.25"/>
  <cols>
    <col min="1" max="1" width="14" customWidth="1"/>
    <col min="2" max="2" width="28" customWidth="1"/>
    <col min="3" max="3" width="18" customWidth="1"/>
    <col min="4" max="4" width="14" customWidth="1"/>
    <col min="5" max="5" width="12" customWidth="1"/>
    <col min="6" max="6" width="15" customWidth="1"/>
    <col min="7" max="7" width="3" customWidth="1"/>
    <col min="8" max="12" width="15" customWidth="1"/>
  </cols>
  <sheetData>
    <row r="1" spans="1:12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1:12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</row>
    <row r="3" spans="1:12">
      <c r="A3" s="69" t="s">
        <v>1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</row>
    <row r="4" spans="1:12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>
      <c r="A5" s="70" t="str">
        <f>"TOTAL REGISTROS"&amp;CHAR(10)&amp;TEXT(COUNTIF('Plan de Tareas'!A2:A301,"&lt;&gt;"),"0")</f>
        <v>TOTAL REGISTROS
10</v>
      </c>
      <c r="B5" s="70"/>
      <c r="C5" s="70"/>
      <c r="D5" s="71" t="str">
        <f>"EN CURSO"&amp;CHAR(10)&amp;TEXT(COUNTIF('Plan de Tareas'!I2:I301,"En curso"),"0")</f>
        <v>EN CURSO
3</v>
      </c>
      <c r="E5" s="71"/>
      <c r="F5" s="71"/>
      <c r="G5" s="72" t="str">
        <f>"TERMINADAS"&amp;CHAR(10)&amp;TEXT(COUNTIF('Plan de Tareas'!I2:I301,"Terminada")+COUNTIF('Plan de Tareas'!I2:I301,"Completada"),"0")</f>
        <v>TERMINADAS
2</v>
      </c>
      <c r="H5" s="72"/>
      <c r="I5" s="72"/>
      <c r="J5" s="73" t="str">
        <f ca="1">"ALERTAS ROJAS"&amp;CHAR(10)&amp;TEXT(COUNTIF('Plan de Tareas'!P2:P301,"ROJO"),"0")</f>
        <v>ALERTAS ROJAS
0</v>
      </c>
      <c r="K5" s="73"/>
      <c r="L5" s="73"/>
    </row>
    <row r="6" spans="1:12">
      <c r="A6" s="70"/>
      <c r="B6" s="70"/>
      <c r="C6" s="70"/>
      <c r="D6" s="71"/>
      <c r="E6" s="71"/>
      <c r="F6" s="71"/>
      <c r="G6" s="72"/>
      <c r="H6" s="72"/>
      <c r="I6" s="72"/>
      <c r="J6" s="73"/>
      <c r="K6" s="73"/>
      <c r="L6" s="73"/>
    </row>
    <row r="7" spans="1:12">
      <c r="A7" s="70"/>
      <c r="B7" s="70"/>
      <c r="C7" s="70"/>
      <c r="D7" s="71"/>
      <c r="E7" s="71"/>
      <c r="F7" s="71"/>
      <c r="G7" s="72"/>
      <c r="H7" s="72"/>
      <c r="I7" s="72"/>
      <c r="J7" s="73"/>
      <c r="K7" s="73"/>
      <c r="L7" s="73"/>
    </row>
    <row r="8" spans="1:1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1:12">
      <c r="A9" s="13" t="s">
        <v>2</v>
      </c>
      <c r="B9" s="13" t="s">
        <v>3</v>
      </c>
      <c r="C9" s="13" t="s">
        <v>4</v>
      </c>
      <c r="D9" s="12"/>
      <c r="E9" s="13" t="s">
        <v>5</v>
      </c>
      <c r="F9" s="13" t="s">
        <v>6</v>
      </c>
      <c r="G9" s="12"/>
      <c r="H9" s="12"/>
      <c r="I9" s="12"/>
      <c r="J9" s="12"/>
      <c r="K9" s="12"/>
      <c r="L9" s="12"/>
    </row>
    <row r="10" spans="1:12">
      <c r="A10" s="12" t="s">
        <v>7</v>
      </c>
      <c r="B10" s="14">
        <f ca="1">IFERROR(SUMIF('Plan de Tareas'!B2:B301,"PROCESO",'Plan de Tareas'!M2:M301)/COUNTIF('Plan de Tareas'!B2:B301,"PROCESO"),0)</f>
        <v>0.25</v>
      </c>
      <c r="C10" s="12" t="s">
        <v>8</v>
      </c>
      <c r="D10" s="12"/>
      <c r="E10" s="12" t="s">
        <v>9</v>
      </c>
      <c r="F10" s="12">
        <f>COUNTIF('Plan de Tareas'!I2:I301,E10)</f>
        <v>5</v>
      </c>
      <c r="G10" s="12"/>
      <c r="H10" s="12"/>
      <c r="I10" s="12"/>
      <c r="J10" s="12"/>
      <c r="K10" s="12"/>
      <c r="L10" s="12"/>
    </row>
    <row r="11" spans="1:12">
      <c r="A11" s="12" t="s">
        <v>10</v>
      </c>
      <c r="B11" s="12">
        <f>COUNTIF('Plan de Tareas'!H2:H301,"Crítica")</f>
        <v>3</v>
      </c>
      <c r="C11" s="12" t="s">
        <v>11</v>
      </c>
      <c r="D11" s="12"/>
      <c r="E11" s="12" t="s">
        <v>12</v>
      </c>
      <c r="F11" s="12">
        <f>COUNTIF('Plan de Tareas'!I2:I301,E11)</f>
        <v>3</v>
      </c>
      <c r="G11" s="12"/>
      <c r="H11" s="12"/>
      <c r="I11" s="12"/>
      <c r="J11" s="12"/>
      <c r="K11" s="12"/>
      <c r="L11" s="12"/>
    </row>
    <row r="12" spans="1:12">
      <c r="A12" s="12" t="s">
        <v>13</v>
      </c>
      <c r="B12" s="12">
        <f ca="1">COUNTIFS('Plan de Tareas'!A2:A301,"&lt;&gt;",'Plan de Tareas'!K2:K301,"&gt;="&amp;TODAY(),'Plan de Tareas'!K2:K301,"&lt;="&amp;TODAY()+7,'Plan de Tareas'!I2:I301,"&lt;&gt;Terminada",'Plan de Tareas'!I2:I301,"&lt;&gt;Completada")</f>
        <v>1</v>
      </c>
      <c r="C12" s="12" t="s">
        <v>14</v>
      </c>
      <c r="D12" s="12"/>
      <c r="E12" s="12" t="s">
        <v>15</v>
      </c>
      <c r="F12" s="12">
        <f>COUNTIF('Plan de Tareas'!I2:I301,E12)</f>
        <v>0</v>
      </c>
      <c r="G12" s="12"/>
      <c r="H12" s="12"/>
      <c r="I12" s="12"/>
      <c r="J12" s="12"/>
      <c r="K12" s="12"/>
      <c r="L12" s="12"/>
    </row>
    <row r="13" spans="1:12">
      <c r="A13" s="12" t="s">
        <v>16</v>
      </c>
      <c r="B13" s="12">
        <f>COUNTIFS('Plan de Tareas'!R2:R301,"&lt;&gt;",'Plan de Tareas'!I2:I301,"&lt;&gt;Completada",'Plan de Tareas'!I2:I301,"&lt;&gt;Cancelada")</f>
        <v>8</v>
      </c>
      <c r="C13" s="12" t="s">
        <v>17</v>
      </c>
      <c r="D13" s="12"/>
      <c r="E13" s="12" t="s">
        <v>18</v>
      </c>
      <c r="F13" s="12">
        <f>COUNTIF('Plan de Tareas'!I2:I301,E13)</f>
        <v>0</v>
      </c>
      <c r="G13" s="12"/>
      <c r="H13" s="12"/>
      <c r="I13" s="12"/>
      <c r="J13" s="12"/>
      <c r="K13" s="12"/>
      <c r="L13" s="12"/>
    </row>
    <row r="14" spans="1:12">
      <c r="A14" s="12"/>
      <c r="B14" s="12"/>
      <c r="C14" s="12"/>
      <c r="D14" s="12"/>
      <c r="E14" s="12" t="s">
        <v>19</v>
      </c>
      <c r="F14" s="12">
        <f>COUNTIF('Plan de Tareas'!I2:I301,E14)</f>
        <v>0</v>
      </c>
      <c r="G14" s="12"/>
      <c r="H14" s="12"/>
      <c r="I14" s="12"/>
      <c r="J14" s="12"/>
      <c r="K14" s="12"/>
      <c r="L14" s="12"/>
    </row>
    <row r="15" spans="1:12">
      <c r="A15" s="12"/>
      <c r="B15" s="12"/>
      <c r="C15" s="12"/>
      <c r="D15" s="12"/>
      <c r="E15" s="12" t="s">
        <v>20</v>
      </c>
      <c r="F15" s="12">
        <f>COUNTIF('Plan de Tareas'!I2:I301,E15)</f>
        <v>2</v>
      </c>
      <c r="G15" s="12"/>
      <c r="H15" s="12"/>
      <c r="I15" s="12"/>
      <c r="J15" s="12"/>
      <c r="K15" s="12"/>
      <c r="L15" s="12"/>
    </row>
    <row r="16" spans="1:12">
      <c r="A16" s="13" t="s">
        <v>21</v>
      </c>
      <c r="B16" s="13" t="s">
        <v>6</v>
      </c>
      <c r="C16" s="12"/>
      <c r="D16" s="12"/>
      <c r="E16" s="12" t="s">
        <v>22</v>
      </c>
      <c r="F16" s="12">
        <f>COUNTIF('Plan de Tareas'!I2:I301,E16)</f>
        <v>0</v>
      </c>
      <c r="G16" s="12"/>
      <c r="H16" s="12"/>
      <c r="I16" s="12"/>
      <c r="J16" s="12"/>
      <c r="K16" s="12"/>
      <c r="L16" s="12"/>
    </row>
    <row r="17" spans="1:12">
      <c r="A17" s="12" t="s">
        <v>23</v>
      </c>
      <c r="B17" s="12">
        <f>COUNTIF('Plan de Tareas'!H2:H301,A17)</f>
        <v>3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2">
      <c r="A18" s="12" t="s">
        <v>24</v>
      </c>
      <c r="B18" s="12">
        <f>COUNTIF('Plan de Tareas'!H2:H301,A18)</f>
        <v>6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</row>
    <row r="19" spans="1:12">
      <c r="A19" s="12" t="s">
        <v>25</v>
      </c>
      <c r="B19" s="12">
        <f>COUNTIF('Plan de Tareas'!H2:H301,A19)</f>
        <v>1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 spans="1:12">
      <c r="A20" s="12" t="s">
        <v>26</v>
      </c>
      <c r="B20" s="12">
        <f>COUNTIF('Plan de Tareas'!H2:H301,A20)</f>
        <v>0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spans="1:1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1:1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1:12" ht="21.95" customHeight="1">
      <c r="A23" s="75" t="s">
        <v>27</v>
      </c>
      <c r="B23" s="75"/>
      <c r="C23" s="75"/>
      <c r="D23" s="75"/>
      <c r="E23" s="75"/>
      <c r="F23" s="75"/>
      <c r="G23" s="12"/>
      <c r="H23" s="12"/>
      <c r="I23" s="12"/>
      <c r="J23" s="12"/>
      <c r="K23" s="12"/>
      <c r="L23" s="12"/>
    </row>
    <row r="24" spans="1:12" ht="21.95" customHeight="1">
      <c r="A24" s="28" t="s">
        <v>28</v>
      </c>
      <c r="B24" s="29" t="s">
        <v>6</v>
      </c>
      <c r="C24" s="30" t="s">
        <v>29</v>
      </c>
      <c r="D24" s="12"/>
      <c r="E24" s="76" t="s">
        <v>30</v>
      </c>
      <c r="F24" s="76"/>
      <c r="G24" s="12"/>
      <c r="H24" s="12"/>
      <c r="I24" s="12"/>
      <c r="J24" s="12"/>
      <c r="K24" s="12"/>
      <c r="L24" s="12"/>
    </row>
    <row r="25" spans="1:12" ht="21.95" customHeight="1">
      <c r="A25" s="31" t="s">
        <v>31</v>
      </c>
      <c r="B25" s="42">
        <f ca="1">COUNTIF('Plan de Tareas'!O2:O301,"ATRASAD*")</f>
        <v>0</v>
      </c>
      <c r="C25" s="32" t="s">
        <v>32</v>
      </c>
      <c r="D25" s="12"/>
      <c r="E25" s="39" t="s">
        <v>33</v>
      </c>
      <c r="F25" s="39">
        <f ca="1">COUNTIF('Plan de Tareas'!P2:P301,"ROJO")</f>
        <v>0</v>
      </c>
      <c r="G25" s="12"/>
      <c r="H25" s="12"/>
      <c r="I25" s="12"/>
      <c r="J25" s="12"/>
      <c r="K25" s="12"/>
      <c r="L25" s="12"/>
    </row>
    <row r="26" spans="1:12" ht="21.95" customHeight="1">
      <c r="A26" s="33" t="s">
        <v>34</v>
      </c>
      <c r="B26" s="43">
        <f ca="1">COUNTIF('Plan de Tareas'!O2:O301,"URGENTE")</f>
        <v>0</v>
      </c>
      <c r="C26" s="34" t="s">
        <v>35</v>
      </c>
      <c r="D26" s="12"/>
      <c r="E26" s="40" t="s">
        <v>36</v>
      </c>
      <c r="F26" s="40">
        <f ca="1">COUNTIF('Plan de Tareas'!P2:P301,"AMARILLO")</f>
        <v>1</v>
      </c>
      <c r="G26" s="12"/>
      <c r="H26" s="12"/>
      <c r="I26" s="12"/>
      <c r="J26" s="12"/>
      <c r="K26" s="12"/>
      <c r="L26" s="12"/>
    </row>
    <row r="27" spans="1:12" ht="21.95" customHeight="1">
      <c r="A27" s="35" t="s">
        <v>37</v>
      </c>
      <c r="B27" s="44">
        <f ca="1">COUNTIF('Plan de Tareas'!O2:O301,"PROXIM*")</f>
        <v>1</v>
      </c>
      <c r="C27" s="36" t="s">
        <v>38</v>
      </c>
      <c r="D27" s="12"/>
      <c r="E27" s="41" t="s">
        <v>39</v>
      </c>
      <c r="F27" s="41">
        <f ca="1">COUNTIF('Plan de Tareas'!P2:P301,"VERDE")</f>
        <v>9</v>
      </c>
      <c r="G27" s="12"/>
      <c r="H27" s="12"/>
      <c r="I27" s="12"/>
      <c r="J27" s="12"/>
      <c r="K27" s="12"/>
      <c r="L27" s="12"/>
    </row>
    <row r="28" spans="1:12" ht="21.95" customHeight="1">
      <c r="A28" s="31" t="s">
        <v>40</v>
      </c>
      <c r="B28" s="42">
        <f ca="1">COUNTIF('Plan de Tareas'!O2:O301,"BLOQUEADA")</f>
        <v>0</v>
      </c>
      <c r="C28" s="32" t="s">
        <v>41</v>
      </c>
      <c r="D28" s="12"/>
      <c r="E28" s="12"/>
      <c r="F28" s="12"/>
      <c r="G28" s="12"/>
      <c r="H28" s="12"/>
      <c r="I28" s="12"/>
      <c r="J28" s="12"/>
      <c r="K28" s="12"/>
      <c r="L28" s="12"/>
    </row>
    <row r="29" spans="1:12" ht="21.95" customHeight="1">
      <c r="A29" s="37" t="s">
        <v>42</v>
      </c>
      <c r="B29" s="45">
        <f ca="1">COUNTIF('Plan de Tareas'!O2:O301,"SIN ETAPAS")</f>
        <v>0</v>
      </c>
      <c r="C29" s="38" t="s">
        <v>43</v>
      </c>
      <c r="D29" s="12"/>
      <c r="E29" s="12"/>
      <c r="F29" s="12"/>
      <c r="G29" s="12"/>
      <c r="H29" s="12"/>
      <c r="I29" s="12"/>
      <c r="J29" s="12"/>
      <c r="K29" s="12"/>
      <c r="L29" s="12"/>
    </row>
    <row r="30" spans="1:12">
      <c r="A30" s="74" t="s">
        <v>44</v>
      </c>
      <c r="B30" s="74"/>
      <c r="C30" s="74"/>
      <c r="D30" s="74"/>
      <c r="E30" s="74"/>
      <c r="F30" s="74"/>
      <c r="G30" s="12"/>
      <c r="H30" s="12"/>
      <c r="I30" s="12"/>
      <c r="J30" s="12"/>
      <c r="K30" s="12"/>
      <c r="L30" s="12"/>
    </row>
    <row r="31" spans="1:12">
      <c r="A31" s="13" t="s">
        <v>45</v>
      </c>
      <c r="B31" s="13" t="s">
        <v>46</v>
      </c>
      <c r="C31" s="13" t="s">
        <v>47</v>
      </c>
      <c r="D31" s="13" t="s">
        <v>48</v>
      </c>
      <c r="E31" s="13" t="s">
        <v>49</v>
      </c>
      <c r="F31" s="13" t="s">
        <v>28</v>
      </c>
      <c r="G31" s="13" t="s">
        <v>50</v>
      </c>
      <c r="H31" s="12"/>
      <c r="I31" s="12"/>
      <c r="J31" s="12"/>
      <c r="K31" s="12"/>
      <c r="L31" s="12"/>
    </row>
    <row r="32" spans="1:12">
      <c r="A32" s="12" t="str">
        <f>'Plan de Tareas'!A2</f>
        <v>CP-001</v>
      </c>
      <c r="B32" s="12" t="str">
        <f>'Plan de Tareas'!F2</f>
        <v>Proceso completo de compra</v>
      </c>
      <c r="C32" s="12" t="str">
        <f>'Plan de Tareas'!G2</f>
        <v>Oscar Arias</v>
      </c>
      <c r="D32" s="15">
        <f>'Plan de Tareas'!K2</f>
        <v>46356</v>
      </c>
      <c r="E32" s="12">
        <f ca="1">'Plan de Tareas'!N2</f>
        <v>35</v>
      </c>
      <c r="F32" s="12" t="str">
        <f ca="1">'Plan de Tareas'!O2</f>
        <v>SIN ALERTA</v>
      </c>
      <c r="G32" s="12" t="str">
        <f ca="1">'Plan de Tareas'!P2</f>
        <v>VERDE</v>
      </c>
      <c r="H32" s="12"/>
      <c r="I32" s="12"/>
      <c r="J32" s="12"/>
      <c r="K32" s="12"/>
      <c r="L32" s="12"/>
    </row>
    <row r="33" spans="1:12">
      <c r="A33" s="12" t="str">
        <f>'Plan de Tareas'!A3</f>
        <v>CP-001.1</v>
      </c>
      <c r="B33" s="12" t="str">
        <f>'Plan de Tareas'!F3</f>
        <v>Revisar necesidad y especificaciones</v>
      </c>
      <c r="C33" s="12" t="str">
        <f>'Plan de Tareas'!G3</f>
        <v>Oscar Arias</v>
      </c>
      <c r="D33" s="15">
        <f>'Plan de Tareas'!K3</f>
        <v>46322</v>
      </c>
      <c r="E33" s="12">
        <f ca="1">'Plan de Tareas'!N3</f>
        <v>0</v>
      </c>
      <c r="F33" s="12" t="str">
        <f>'Plan de Tareas'!O3</f>
        <v>TERMINADA</v>
      </c>
      <c r="G33" s="12" t="str">
        <f>'Plan de Tareas'!P3</f>
        <v>VERDE</v>
      </c>
      <c r="H33" s="12"/>
      <c r="I33" s="12"/>
      <c r="J33" s="12"/>
      <c r="K33" s="12"/>
      <c r="L33" s="12"/>
    </row>
    <row r="34" spans="1:12">
      <c r="A34" s="12" t="str">
        <f>'Plan de Tareas'!A4</f>
        <v>CP-001.2</v>
      </c>
      <c r="B34" s="12" t="str">
        <f>'Plan de Tareas'!F4</f>
        <v>Ver precios y referencias de mercado</v>
      </c>
      <c r="C34" s="12" t="str">
        <f>'Plan de Tareas'!G4</f>
        <v>Oscar Arias</v>
      </c>
      <c r="D34" s="15">
        <f>'Plan de Tareas'!K4</f>
        <v>46324</v>
      </c>
      <c r="E34" s="12">
        <f ca="1">'Plan de Tareas'!N4</f>
        <v>0</v>
      </c>
      <c r="F34" s="12" t="str">
        <f>'Plan de Tareas'!O4</f>
        <v>TERMINADA</v>
      </c>
      <c r="G34" s="12" t="str">
        <f>'Plan de Tareas'!P4</f>
        <v>VERDE</v>
      </c>
      <c r="H34" s="12"/>
      <c r="I34" s="12"/>
      <c r="J34" s="12"/>
      <c r="K34" s="12"/>
      <c r="L34" s="12"/>
    </row>
    <row r="35" spans="1:12">
      <c r="A35" s="12" t="str">
        <f>'Plan de Tareas'!A5</f>
        <v>CP-001.3</v>
      </c>
      <c r="B35" s="12" t="str">
        <f>'Plan de Tareas'!F5</f>
        <v>Revisar Convenio Marco / Compra Ágil</v>
      </c>
      <c r="C35" s="12" t="str">
        <f>'Plan de Tareas'!G5</f>
        <v>Oscar Arias</v>
      </c>
      <c r="D35" s="15">
        <f>'Plan de Tareas'!K5</f>
        <v>46329</v>
      </c>
      <c r="E35" s="12">
        <f ca="1">'Plan de Tareas'!N5</f>
        <v>8</v>
      </c>
      <c r="F35" s="12" t="str">
        <f ca="1">'Plan de Tareas'!O5</f>
        <v>SIN ALERTA</v>
      </c>
      <c r="G35" s="12" t="str">
        <f ca="1">'Plan de Tareas'!P5</f>
        <v>VERDE</v>
      </c>
      <c r="H35" s="12"/>
      <c r="I35" s="12"/>
      <c r="J35" s="12"/>
      <c r="K35" s="12"/>
      <c r="L35" s="12"/>
    </row>
    <row r="36" spans="1:12">
      <c r="A36" s="12" t="str">
        <f>'Plan de Tareas'!A6</f>
        <v>CP-001.4</v>
      </c>
      <c r="B36" s="12" t="str">
        <f>'Plan de Tareas'!F6</f>
        <v>Preparar y aprobar requerimiento</v>
      </c>
      <c r="C36" s="12" t="str">
        <f>'Plan de Tareas'!G6</f>
        <v>Oscar Arias</v>
      </c>
      <c r="D36" s="15">
        <f>'Plan de Tareas'!K6</f>
        <v>46332</v>
      </c>
      <c r="E36" s="12">
        <f ca="1">'Plan de Tareas'!N6</f>
        <v>11</v>
      </c>
      <c r="F36" s="12" t="str">
        <f ca="1">'Plan de Tareas'!O6</f>
        <v>SIN ALERTA</v>
      </c>
      <c r="G36" s="12" t="str">
        <f ca="1">'Plan de Tareas'!P6</f>
        <v>VERDE</v>
      </c>
      <c r="H36" s="12"/>
      <c r="I36" s="12"/>
      <c r="J36" s="12"/>
      <c r="K36" s="12"/>
      <c r="L36" s="12"/>
    </row>
    <row r="37" spans="1:12">
      <c r="A37" s="12" t="str">
        <f>'Plan de Tareas'!A7</f>
        <v>CP-001.5</v>
      </c>
      <c r="B37" s="12" t="str">
        <f>'Plan de Tareas'!F7</f>
        <v>Publicar / emitir proceso de compra</v>
      </c>
      <c r="C37" s="12" t="str">
        <f>'Plan de Tareas'!G7</f>
        <v>Compras</v>
      </c>
      <c r="D37" s="15">
        <f>'Plan de Tareas'!K7</f>
        <v>46338</v>
      </c>
      <c r="E37" s="12">
        <f ca="1">'Plan de Tareas'!N7</f>
        <v>17</v>
      </c>
      <c r="F37" s="12" t="str">
        <f ca="1">'Plan de Tareas'!O7</f>
        <v>SIN ALERTA</v>
      </c>
      <c r="G37" s="12" t="str">
        <f ca="1">'Plan de Tareas'!P7</f>
        <v>VERDE</v>
      </c>
      <c r="H37" s="12"/>
      <c r="I37" s="12"/>
      <c r="J37" s="12"/>
      <c r="K37" s="12"/>
      <c r="L37" s="12"/>
    </row>
    <row r="38" spans="1:12">
      <c r="A38" s="12" t="str">
        <f>'Plan de Tareas'!A8</f>
        <v>CP-001.6</v>
      </c>
      <c r="B38" s="12" t="str">
        <f>'Plan de Tareas'!F8</f>
        <v>Evaluación y adjudicación</v>
      </c>
      <c r="C38" s="12" t="str">
        <f>'Plan de Tareas'!G8</f>
        <v>Compras</v>
      </c>
      <c r="D38" s="15">
        <f>'Plan de Tareas'!K8</f>
        <v>46344</v>
      </c>
      <c r="E38" s="12">
        <f ca="1">'Plan de Tareas'!N8</f>
        <v>23</v>
      </c>
      <c r="F38" s="12" t="str">
        <f ca="1">'Plan de Tareas'!O8</f>
        <v>SIN ALERTA</v>
      </c>
      <c r="G38" s="12" t="str">
        <f ca="1">'Plan de Tareas'!P8</f>
        <v>VERDE</v>
      </c>
      <c r="H38" s="12"/>
      <c r="I38" s="12"/>
      <c r="J38" s="12"/>
      <c r="K38" s="12"/>
      <c r="L38" s="12"/>
    </row>
    <row r="39" spans="1:12">
      <c r="A39" s="12" t="str">
        <f>'Plan de Tareas'!A9</f>
        <v>CP-001.7</v>
      </c>
      <c r="B39" s="12" t="str">
        <f>'Plan de Tareas'!F9</f>
        <v>Emitir y aceptar Orden de Compra</v>
      </c>
      <c r="C39" s="12" t="str">
        <f>'Plan de Tareas'!G9</f>
        <v>Compras</v>
      </c>
      <c r="D39" s="15">
        <f>'Plan de Tareas'!K9</f>
        <v>46346</v>
      </c>
      <c r="E39" s="12">
        <f ca="1">'Plan de Tareas'!N9</f>
        <v>25</v>
      </c>
      <c r="F39" s="12" t="str">
        <f ca="1">'Plan de Tareas'!O9</f>
        <v>SIN ALERTA</v>
      </c>
      <c r="G39" s="12" t="str">
        <f ca="1">'Plan de Tareas'!P9</f>
        <v>VERDE</v>
      </c>
      <c r="H39" s="12"/>
      <c r="I39" s="12"/>
      <c r="J39" s="12"/>
      <c r="K39" s="12"/>
      <c r="L39" s="12"/>
    </row>
    <row r="40" spans="1:12">
      <c r="A40" s="12" t="str">
        <f>'Plan de Tareas'!A10</f>
        <v>CP-001.8</v>
      </c>
      <c r="B40" s="12" t="str">
        <f>'Plan de Tareas'!F10</f>
        <v>Despacho, recepción conforme y cierre</v>
      </c>
      <c r="C40" s="12" t="str">
        <f>'Plan de Tareas'!G10</f>
        <v>Oscar Arias</v>
      </c>
      <c r="D40" s="15">
        <f>'Plan de Tareas'!K10</f>
        <v>46356</v>
      </c>
      <c r="E40" s="12">
        <f ca="1">'Plan de Tareas'!N10</f>
        <v>35</v>
      </c>
      <c r="F40" s="12" t="str">
        <f ca="1">'Plan de Tareas'!O10</f>
        <v>SIN ALERTA</v>
      </c>
      <c r="G40" s="12" t="str">
        <f ca="1">'Plan de Tareas'!P10</f>
        <v>VERDE</v>
      </c>
      <c r="H40" s="12"/>
      <c r="I40" s="12"/>
      <c r="J40" s="12"/>
      <c r="K40" s="12"/>
      <c r="L40" s="12"/>
    </row>
    <row r="41" spans="1:12">
      <c r="A41" s="12" t="str">
        <f>'Plan de Tareas'!A11</f>
        <v>ADM-001</v>
      </c>
      <c r="B41" s="12" t="str">
        <f>'Plan de Tareas'!F11</f>
        <v>Elaborar informe administrativo mensual</v>
      </c>
      <c r="C41" s="12" t="str">
        <f>'Plan de Tareas'!G11</f>
        <v>Oscar Arias</v>
      </c>
      <c r="D41" s="15">
        <f>'Plan de Tareas'!K11</f>
        <v>46325</v>
      </c>
      <c r="E41" s="12">
        <f ca="1">'Plan de Tareas'!N11</f>
        <v>4</v>
      </c>
      <c r="F41" s="12" t="str">
        <f ca="1">'Plan de Tareas'!O11</f>
        <v>PROXIMA</v>
      </c>
      <c r="G41" s="12" t="str">
        <f ca="1">'Plan de Tareas'!P11</f>
        <v>AMARILLO</v>
      </c>
      <c r="H41" s="12"/>
      <c r="I41" s="12"/>
      <c r="J41" s="12"/>
      <c r="K41" s="12"/>
      <c r="L41" s="12"/>
    </row>
    <row r="42" spans="1:1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</row>
    <row r="43" spans="1:1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spans="1:1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 spans="1:1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</row>
  </sheetData>
  <mergeCells count="9">
    <mergeCell ref="A30:F30"/>
    <mergeCell ref="A23:F23"/>
    <mergeCell ref="E24:F24"/>
    <mergeCell ref="A1:L2"/>
    <mergeCell ref="A3:L3"/>
    <mergeCell ref="A5:C7"/>
    <mergeCell ref="D5:F7"/>
    <mergeCell ref="G5:I7"/>
    <mergeCell ref="J5:L7"/>
  </mergeCells>
  <conditionalFormatting sqref="F32:F41">
    <cfRule type="expression" dxfId="31" priority="1">
      <formula>F32="VENCIDA"</formula>
    </cfRule>
    <cfRule type="expression" dxfId="30" priority="2">
      <formula>F32="URGENTE"</formula>
    </cfRule>
    <cfRule type="expression" dxfId="29" priority="3">
      <formula>F32="COMPLETADA"</formula>
    </cfRule>
  </conditionalFormatting>
  <conditionalFormatting sqref="G32:G41">
    <cfRule type="expression" dxfId="28" priority="4">
      <formula>G32="ROJO"</formula>
    </cfRule>
    <cfRule type="expression" dxfId="27" priority="5">
      <formula>G32="AMARILLO"</formula>
    </cfRule>
    <cfRule type="expression" dxfId="26" priority="6">
      <formula>G32="VERDE"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01"/>
  <sheetViews>
    <sheetView workbookViewId="0">
      <pane xSplit="6" ySplit="1" topLeftCell="G2" activePane="bottomRight" state="frozen"/>
      <selection pane="topRight"/>
      <selection pane="bottomLeft"/>
      <selection pane="bottomRight" activeCell="K14" sqref="K14"/>
    </sheetView>
  </sheetViews>
  <sheetFormatPr baseColWidth="10" defaultColWidth="9" defaultRowHeight="14.25"/>
  <cols>
    <col min="1" max="2" width="12" customWidth="1"/>
    <col min="3" max="3" width="16" customWidth="1"/>
    <col min="4" max="4" width="20" customWidth="1"/>
    <col min="5" max="5" width="24" customWidth="1"/>
    <col min="6" max="6" width="38" customWidth="1"/>
    <col min="7" max="7" width="18" customWidth="1"/>
    <col min="8" max="8" width="12" customWidth="1"/>
    <col min="9" max="9" width="14" customWidth="1"/>
    <col min="10" max="10" width="13" customWidth="1"/>
    <col min="11" max="11" width="16" customWidth="1"/>
    <col min="12" max="12" width="14" customWidth="1"/>
    <col min="13" max="13" width="17" customWidth="1"/>
    <col min="14" max="14" width="14" customWidth="1"/>
    <col min="15" max="15" width="20" customWidth="1"/>
    <col min="16" max="16" width="12" customWidth="1"/>
    <col min="17" max="17" width="20" customWidth="1"/>
    <col min="18" max="18" width="32" customWidth="1"/>
    <col min="19" max="19" width="20" customWidth="1"/>
    <col min="20" max="20" width="25" customWidth="1"/>
    <col min="21" max="21" width="16" customWidth="1"/>
    <col min="22" max="22" width="20" customWidth="1"/>
    <col min="23" max="23" width="28" customWidth="1"/>
    <col min="24" max="24" width="15" customWidth="1"/>
    <col min="25" max="25" width="12" customWidth="1"/>
  </cols>
  <sheetData>
    <row r="1" spans="1:25" ht="42" customHeight="1">
      <c r="A1" s="18" t="s">
        <v>45</v>
      </c>
      <c r="B1" s="18" t="s">
        <v>51</v>
      </c>
      <c r="C1" s="18" t="s">
        <v>52</v>
      </c>
      <c r="D1" s="18" t="s">
        <v>53</v>
      </c>
      <c r="E1" s="18" t="s">
        <v>54</v>
      </c>
      <c r="F1" s="18" t="s">
        <v>55</v>
      </c>
      <c r="G1" s="18" t="s">
        <v>47</v>
      </c>
      <c r="H1" s="18" t="s">
        <v>21</v>
      </c>
      <c r="I1" s="18" t="s">
        <v>5</v>
      </c>
      <c r="J1" s="18" t="s">
        <v>56</v>
      </c>
      <c r="K1" s="18" t="s">
        <v>57</v>
      </c>
      <c r="L1" s="23" t="s">
        <v>58</v>
      </c>
      <c r="M1" s="23" t="s">
        <v>59</v>
      </c>
      <c r="N1" s="23" t="s">
        <v>60</v>
      </c>
      <c r="O1" s="23" t="s">
        <v>28</v>
      </c>
      <c r="P1" s="23" t="s">
        <v>50</v>
      </c>
      <c r="Q1" s="23" t="s">
        <v>61</v>
      </c>
      <c r="R1" s="18" t="s">
        <v>62</v>
      </c>
      <c r="S1" s="18" t="s">
        <v>63</v>
      </c>
      <c r="T1" s="18" t="s">
        <v>64</v>
      </c>
      <c r="U1" s="18" t="s">
        <v>65</v>
      </c>
      <c r="V1" s="18" t="s">
        <v>66</v>
      </c>
      <c r="W1" s="18" t="s">
        <v>67</v>
      </c>
      <c r="X1" s="18" t="s">
        <v>68</v>
      </c>
      <c r="Y1" s="19" t="s">
        <v>69</v>
      </c>
    </row>
    <row r="2" spans="1:25">
      <c r="A2" s="2" t="s">
        <v>70</v>
      </c>
      <c r="B2" s="2" t="s">
        <v>71</v>
      </c>
      <c r="C2" s="2"/>
      <c r="D2" s="3" t="s">
        <v>72</v>
      </c>
      <c r="E2" s="3" t="s">
        <v>73</v>
      </c>
      <c r="F2" s="3" t="s">
        <v>74</v>
      </c>
      <c r="G2" s="2" t="s">
        <v>75</v>
      </c>
      <c r="H2" s="2" t="s">
        <v>23</v>
      </c>
      <c r="I2" s="4" t="s">
        <v>12</v>
      </c>
      <c r="J2" s="4">
        <v>46321</v>
      </c>
      <c r="K2" s="4">
        <v>46356</v>
      </c>
      <c r="L2" s="21">
        <f t="shared" ref="L2:L65" si="0">IF(A2="","",IF(OR(J2="",K2=""),"",MAX(1,K2-J2+1)))</f>
        <v>36</v>
      </c>
      <c r="M2" s="5">
        <f t="shared" ref="M2:M65" ca="1" si="1">IF(A2="","",IF(B2="PROCESO",IF(COUNTIF($C$2:$C$301,A2)=0,0,SUMIF($C$2:$C$301,A2,$M$2:$M$301)/COUNTIF($C$2:$C$301,A2)),IF(OR(I2="Terminada",I2="Completada"),1,IF(OR(I2="No iniciada",I2="Cancelada"),0,IF(OR(J2="",K2=""),0,MIN(0.99,MAX(0,(TODAY()-J2+1)/MAX(1,K2-J2+1))))))))</f>
        <v>0.25</v>
      </c>
      <c r="N2" s="21">
        <f t="shared" ref="N2:N65" ca="1" si="2">IF(A2="","",IF(K2="","",IF(OR(I2="Terminada",I2="Completada"),0,K2-TODAY())))</f>
        <v>35</v>
      </c>
      <c r="O2" s="2" t="str">
        <f t="shared" ref="O2:O65" ca="1" si="3">IF(A2="","",IF(B2="PROCESO",IF(COUNTIF($C$2:$C$301,A2)=0,"SIN ETAPAS",IF(M2=1,"TERMINADO",IF(N2&lt;0,"ATRASADO",IF(N2&lt;=3,"URGENTE",IF(N2&lt;=7,"PROXIMO","SIN ALERTA"))))),IF(OR(I2="Terminada",I2="Completada"),"TERMINADA",IF(I2="Bloqueada","BLOQUEADA",IF(N2&lt;0,"ATRASADA",IF(N2&lt;=3,"URGENTE",IF(N2&lt;=7,"PROXIMA","SIN ALERTA")))))))</f>
        <v>SIN ALERTA</v>
      </c>
      <c r="P2" s="17" t="str">
        <f t="shared" ref="P2:P65" ca="1" si="4">IF(A2="","",IF(OR(I2="Terminada",I2="Completada"),"VERDE",IF(I2="Bloqueada","ROJO",IF(N2&lt;0,"ROJO",IF(N2&lt;=3,"ROJO",IF(N2&lt;=7,"AMARILLO","VERDE"))))))</f>
        <v>VERDE</v>
      </c>
      <c r="Q2" s="20" t="str">
        <f t="shared" ref="Q2:Q65" si="5">IF(A2="","",IF(OR(B2&lt;&gt;"ETAPA",C2=""),"",1/COUNTIF($C$2:$C$301,C2)))</f>
        <v/>
      </c>
      <c r="R2" s="2" t="s">
        <v>76</v>
      </c>
      <c r="S2" s="6"/>
      <c r="T2" s="6" t="s">
        <v>77</v>
      </c>
      <c r="U2" s="22">
        <v>3500000</v>
      </c>
      <c r="V2" s="4"/>
      <c r="W2" s="4" t="s">
        <v>78</v>
      </c>
      <c r="X2" s="4">
        <v>46356</v>
      </c>
      <c r="Y2" t="s">
        <v>79</v>
      </c>
    </row>
    <row r="3" spans="1:25">
      <c r="A3" s="2" t="s">
        <v>80</v>
      </c>
      <c r="B3" s="2" t="s">
        <v>81</v>
      </c>
      <c r="C3" s="2" t="s">
        <v>70</v>
      </c>
      <c r="D3" s="3" t="s">
        <v>72</v>
      </c>
      <c r="E3" s="3" t="s">
        <v>73</v>
      </c>
      <c r="F3" s="3" t="s">
        <v>82</v>
      </c>
      <c r="G3" s="2" t="s">
        <v>75</v>
      </c>
      <c r="H3" s="2" t="s">
        <v>24</v>
      </c>
      <c r="I3" s="4" t="s">
        <v>20</v>
      </c>
      <c r="J3" s="4">
        <v>46321</v>
      </c>
      <c r="K3" s="4">
        <v>46322</v>
      </c>
      <c r="L3" s="21">
        <f t="shared" si="0"/>
        <v>2</v>
      </c>
      <c r="M3" s="5">
        <f t="shared" ca="1" si="1"/>
        <v>1</v>
      </c>
      <c r="N3" s="21">
        <f t="shared" ca="1" si="2"/>
        <v>0</v>
      </c>
      <c r="O3" s="2" t="str">
        <f t="shared" si="3"/>
        <v>TERMINADA</v>
      </c>
      <c r="P3" s="17" t="str">
        <f t="shared" si="4"/>
        <v>VERDE</v>
      </c>
      <c r="Q3" s="20">
        <f t="shared" si="5"/>
        <v>0.125</v>
      </c>
      <c r="R3" s="2" t="s">
        <v>83</v>
      </c>
      <c r="S3" s="6" t="s">
        <v>84</v>
      </c>
      <c r="T3" s="6" t="s">
        <v>77</v>
      </c>
      <c r="U3" s="22"/>
      <c r="V3" s="4"/>
      <c r="W3" s="4" t="s">
        <v>85</v>
      </c>
      <c r="X3" s="4">
        <v>46323</v>
      </c>
      <c r="Y3" t="s">
        <v>86</v>
      </c>
    </row>
    <row r="4" spans="1:25">
      <c r="A4" s="2" t="s">
        <v>87</v>
      </c>
      <c r="B4" s="2" t="s">
        <v>81</v>
      </c>
      <c r="C4" s="2" t="s">
        <v>70</v>
      </c>
      <c r="D4" s="3" t="s">
        <v>72</v>
      </c>
      <c r="E4" s="3" t="s">
        <v>73</v>
      </c>
      <c r="F4" s="3" t="s">
        <v>88</v>
      </c>
      <c r="G4" s="2" t="s">
        <v>75</v>
      </c>
      <c r="H4" s="2" t="s">
        <v>24</v>
      </c>
      <c r="I4" s="4" t="s">
        <v>20</v>
      </c>
      <c r="J4" s="4">
        <v>46323</v>
      </c>
      <c r="K4" s="4">
        <v>46324</v>
      </c>
      <c r="L4" s="21">
        <f t="shared" si="0"/>
        <v>2</v>
      </c>
      <c r="M4" s="5">
        <f t="shared" ca="1" si="1"/>
        <v>1</v>
      </c>
      <c r="N4" s="21">
        <f t="shared" ca="1" si="2"/>
        <v>0</v>
      </c>
      <c r="O4" s="2" t="str">
        <f t="shared" si="3"/>
        <v>TERMINADA</v>
      </c>
      <c r="P4" s="17" t="str">
        <f t="shared" si="4"/>
        <v>VERDE</v>
      </c>
      <c r="Q4" s="20">
        <f t="shared" si="5"/>
        <v>0.125</v>
      </c>
      <c r="R4" s="2" t="s">
        <v>89</v>
      </c>
      <c r="S4" s="6" t="s">
        <v>90</v>
      </c>
      <c r="T4" s="6" t="s">
        <v>77</v>
      </c>
      <c r="U4" s="22"/>
      <c r="V4" s="4"/>
      <c r="W4" s="4" t="s">
        <v>91</v>
      </c>
      <c r="X4" s="4">
        <v>46325</v>
      </c>
      <c r="Y4" t="s">
        <v>86</v>
      </c>
    </row>
    <row r="5" spans="1:25">
      <c r="A5" s="2" t="s">
        <v>92</v>
      </c>
      <c r="B5" s="2" t="s">
        <v>81</v>
      </c>
      <c r="C5" s="2" t="s">
        <v>70</v>
      </c>
      <c r="D5" s="3" t="s">
        <v>72</v>
      </c>
      <c r="E5" s="3" t="s">
        <v>73</v>
      </c>
      <c r="F5" s="3" t="s">
        <v>93</v>
      </c>
      <c r="G5" s="2" t="s">
        <v>75</v>
      </c>
      <c r="H5" s="2" t="s">
        <v>23</v>
      </c>
      <c r="I5" s="4" t="s">
        <v>12</v>
      </c>
      <c r="J5" s="4">
        <v>46325</v>
      </c>
      <c r="K5" s="4">
        <v>46329</v>
      </c>
      <c r="L5" s="21">
        <f t="shared" si="0"/>
        <v>5</v>
      </c>
      <c r="M5" s="5">
        <f t="shared" ca="1" si="1"/>
        <v>0</v>
      </c>
      <c r="N5" s="21">
        <f t="shared" ca="1" si="2"/>
        <v>8</v>
      </c>
      <c r="O5" s="2" t="str">
        <f t="shared" ca="1" si="3"/>
        <v>SIN ALERTA</v>
      </c>
      <c r="P5" s="17" t="str">
        <f t="shared" ca="1" si="4"/>
        <v>VERDE</v>
      </c>
      <c r="Q5" s="20">
        <f t="shared" si="5"/>
        <v>0.125</v>
      </c>
      <c r="R5" s="2" t="s">
        <v>94</v>
      </c>
      <c r="S5" s="6" t="s">
        <v>90</v>
      </c>
      <c r="T5" s="6" t="s">
        <v>77</v>
      </c>
      <c r="U5" s="22"/>
      <c r="V5" s="4"/>
      <c r="W5" s="4" t="s">
        <v>95</v>
      </c>
      <c r="X5" s="4">
        <v>46329</v>
      </c>
      <c r="Y5" t="s">
        <v>96</v>
      </c>
    </row>
    <row r="6" spans="1:25">
      <c r="A6" s="2" t="s">
        <v>97</v>
      </c>
      <c r="B6" s="2" t="s">
        <v>81</v>
      </c>
      <c r="C6" s="2" t="s">
        <v>70</v>
      </c>
      <c r="D6" s="3" t="s">
        <v>72</v>
      </c>
      <c r="E6" s="3" t="s">
        <v>73</v>
      </c>
      <c r="F6" s="3" t="s">
        <v>98</v>
      </c>
      <c r="G6" s="2" t="s">
        <v>75</v>
      </c>
      <c r="H6" s="2" t="s">
        <v>24</v>
      </c>
      <c r="I6" s="4" t="s">
        <v>9</v>
      </c>
      <c r="J6" s="4">
        <v>46330</v>
      </c>
      <c r="K6" s="4">
        <v>46332</v>
      </c>
      <c r="L6" s="21">
        <f t="shared" si="0"/>
        <v>3</v>
      </c>
      <c r="M6" s="5">
        <f t="shared" ca="1" si="1"/>
        <v>0</v>
      </c>
      <c r="N6" s="21">
        <f t="shared" ca="1" si="2"/>
        <v>11</v>
      </c>
      <c r="O6" s="2" t="str">
        <f t="shared" ca="1" si="3"/>
        <v>SIN ALERTA</v>
      </c>
      <c r="P6" s="17" t="str">
        <f t="shared" ca="1" si="4"/>
        <v>VERDE</v>
      </c>
      <c r="Q6" s="20">
        <f t="shared" si="5"/>
        <v>0.125</v>
      </c>
      <c r="R6" s="2" t="s">
        <v>99</v>
      </c>
      <c r="S6" s="6" t="s">
        <v>84</v>
      </c>
      <c r="T6" s="6" t="s">
        <v>77</v>
      </c>
      <c r="U6" s="22"/>
      <c r="V6" s="4"/>
      <c r="W6" s="4" t="s">
        <v>100</v>
      </c>
      <c r="X6" s="4">
        <v>46332</v>
      </c>
      <c r="Y6" t="s">
        <v>96</v>
      </c>
    </row>
    <row r="7" spans="1:25">
      <c r="A7" s="2" t="s">
        <v>101</v>
      </c>
      <c r="B7" s="2" t="s">
        <v>81</v>
      </c>
      <c r="C7" s="2" t="s">
        <v>70</v>
      </c>
      <c r="D7" s="3" t="s">
        <v>72</v>
      </c>
      <c r="E7" s="3" t="s">
        <v>73</v>
      </c>
      <c r="F7" s="3" t="s">
        <v>102</v>
      </c>
      <c r="G7" s="2" t="s">
        <v>103</v>
      </c>
      <c r="H7" s="2" t="s">
        <v>24</v>
      </c>
      <c r="I7" s="4" t="s">
        <v>9</v>
      </c>
      <c r="J7" s="4">
        <v>46335</v>
      </c>
      <c r="K7" s="4">
        <v>46338</v>
      </c>
      <c r="L7" s="21">
        <f t="shared" si="0"/>
        <v>4</v>
      </c>
      <c r="M7" s="5">
        <f t="shared" ca="1" si="1"/>
        <v>0</v>
      </c>
      <c r="N7" s="21">
        <f t="shared" ca="1" si="2"/>
        <v>17</v>
      </c>
      <c r="O7" s="2" t="str">
        <f t="shared" ca="1" si="3"/>
        <v>SIN ALERTA</v>
      </c>
      <c r="P7" s="17" t="str">
        <f t="shared" ca="1" si="4"/>
        <v>VERDE</v>
      </c>
      <c r="Q7" s="20">
        <f t="shared" si="5"/>
        <v>0.125</v>
      </c>
      <c r="R7" s="2" t="s">
        <v>104</v>
      </c>
      <c r="S7" s="6" t="s">
        <v>105</v>
      </c>
      <c r="T7" s="6" t="s">
        <v>77</v>
      </c>
      <c r="U7" s="22"/>
      <c r="V7" s="4"/>
      <c r="W7" s="4" t="s">
        <v>106</v>
      </c>
      <c r="X7" s="4">
        <v>46339</v>
      </c>
      <c r="Y7" t="s">
        <v>96</v>
      </c>
    </row>
    <row r="8" spans="1:25">
      <c r="A8" s="2" t="s">
        <v>107</v>
      </c>
      <c r="B8" s="2" t="s">
        <v>81</v>
      </c>
      <c r="C8" s="2" t="s">
        <v>70</v>
      </c>
      <c r="D8" s="3" t="s">
        <v>72</v>
      </c>
      <c r="E8" s="3" t="s">
        <v>73</v>
      </c>
      <c r="F8" s="3" t="s">
        <v>108</v>
      </c>
      <c r="G8" s="2" t="s">
        <v>103</v>
      </c>
      <c r="H8" s="2" t="s">
        <v>24</v>
      </c>
      <c r="I8" s="4" t="s">
        <v>9</v>
      </c>
      <c r="J8" s="4">
        <v>46339</v>
      </c>
      <c r="K8" s="4">
        <v>46344</v>
      </c>
      <c r="L8" s="21">
        <f t="shared" si="0"/>
        <v>6</v>
      </c>
      <c r="M8" s="5">
        <f t="shared" ca="1" si="1"/>
        <v>0</v>
      </c>
      <c r="N8" s="21">
        <f t="shared" ca="1" si="2"/>
        <v>23</v>
      </c>
      <c r="O8" s="2" t="str">
        <f t="shared" ca="1" si="3"/>
        <v>SIN ALERTA</v>
      </c>
      <c r="P8" s="17" t="str">
        <f t="shared" ca="1" si="4"/>
        <v>VERDE</v>
      </c>
      <c r="Q8" s="20">
        <f t="shared" si="5"/>
        <v>0.125</v>
      </c>
      <c r="R8" s="2" t="s">
        <v>109</v>
      </c>
      <c r="S8" s="6" t="s">
        <v>106</v>
      </c>
      <c r="T8" s="6" t="s">
        <v>77</v>
      </c>
      <c r="U8" s="22"/>
      <c r="V8" s="4"/>
      <c r="W8" s="4" t="s">
        <v>110</v>
      </c>
      <c r="X8" s="4">
        <v>46345</v>
      </c>
      <c r="Y8" t="s">
        <v>96</v>
      </c>
    </row>
    <row r="9" spans="1:25">
      <c r="A9" s="2" t="s">
        <v>111</v>
      </c>
      <c r="B9" s="2" t="s">
        <v>81</v>
      </c>
      <c r="C9" s="2" t="s">
        <v>70</v>
      </c>
      <c r="D9" s="3" t="s">
        <v>72</v>
      </c>
      <c r="E9" s="3" t="s">
        <v>73</v>
      </c>
      <c r="F9" s="3" t="s">
        <v>112</v>
      </c>
      <c r="G9" s="2" t="s">
        <v>103</v>
      </c>
      <c r="H9" s="2" t="s">
        <v>24</v>
      </c>
      <c r="I9" s="4" t="s">
        <v>9</v>
      </c>
      <c r="J9" s="4">
        <v>46345</v>
      </c>
      <c r="K9" s="4">
        <v>46346</v>
      </c>
      <c r="L9" s="21">
        <f t="shared" si="0"/>
        <v>2</v>
      </c>
      <c r="M9" s="5">
        <f t="shared" ca="1" si="1"/>
        <v>0</v>
      </c>
      <c r="N9" s="21">
        <f t="shared" ca="1" si="2"/>
        <v>25</v>
      </c>
      <c r="O9" s="2" t="str">
        <f t="shared" ca="1" si="3"/>
        <v>SIN ALERTA</v>
      </c>
      <c r="P9" s="17" t="str">
        <f t="shared" ca="1" si="4"/>
        <v>VERDE</v>
      </c>
      <c r="Q9" s="20">
        <f t="shared" si="5"/>
        <v>0.125</v>
      </c>
      <c r="R9" s="2" t="s">
        <v>113</v>
      </c>
      <c r="S9" s="6" t="s">
        <v>114</v>
      </c>
      <c r="T9" s="6" t="s">
        <v>77</v>
      </c>
      <c r="U9" s="22"/>
      <c r="V9" s="4"/>
      <c r="W9" s="4" t="s">
        <v>115</v>
      </c>
      <c r="X9" s="4">
        <v>46349</v>
      </c>
      <c r="Y9" t="s">
        <v>96</v>
      </c>
    </row>
    <row r="10" spans="1:25">
      <c r="A10" s="2" t="s">
        <v>116</v>
      </c>
      <c r="B10" s="2" t="s">
        <v>81</v>
      </c>
      <c r="C10" s="2" t="s">
        <v>70</v>
      </c>
      <c r="D10" s="3" t="s">
        <v>72</v>
      </c>
      <c r="E10" s="3" t="s">
        <v>73</v>
      </c>
      <c r="F10" s="3" t="s">
        <v>117</v>
      </c>
      <c r="G10" s="2" t="s">
        <v>75</v>
      </c>
      <c r="H10" s="2" t="s">
        <v>23</v>
      </c>
      <c r="I10" s="4" t="s">
        <v>9</v>
      </c>
      <c r="J10" s="4">
        <v>46349</v>
      </c>
      <c r="K10" s="4">
        <v>46356</v>
      </c>
      <c r="L10" s="21">
        <f t="shared" si="0"/>
        <v>8</v>
      </c>
      <c r="M10" s="5">
        <f t="shared" ca="1" si="1"/>
        <v>0</v>
      </c>
      <c r="N10" s="21">
        <f t="shared" ca="1" si="2"/>
        <v>35</v>
      </c>
      <c r="O10" s="2" t="str">
        <f t="shared" ca="1" si="3"/>
        <v>SIN ALERTA</v>
      </c>
      <c r="P10" s="17" t="str">
        <f t="shared" ca="1" si="4"/>
        <v>VERDE</v>
      </c>
      <c r="Q10" s="20">
        <f t="shared" si="5"/>
        <v>0.125</v>
      </c>
      <c r="R10" s="2" t="s">
        <v>118</v>
      </c>
      <c r="S10" s="6" t="s">
        <v>78</v>
      </c>
      <c r="T10" s="6" t="s">
        <v>77</v>
      </c>
      <c r="U10" s="22"/>
      <c r="V10" s="4"/>
      <c r="W10" s="4" t="s">
        <v>119</v>
      </c>
      <c r="X10" s="4">
        <v>46356</v>
      </c>
      <c r="Y10" t="s">
        <v>79</v>
      </c>
    </row>
    <row r="11" spans="1:25">
      <c r="A11" s="2" t="s">
        <v>120</v>
      </c>
      <c r="B11" s="2" t="s">
        <v>81</v>
      </c>
      <c r="C11" s="2"/>
      <c r="D11" s="3" t="s">
        <v>121</v>
      </c>
      <c r="E11" s="3" t="s">
        <v>122</v>
      </c>
      <c r="F11" s="3" t="s">
        <v>123</v>
      </c>
      <c r="G11" s="2" t="s">
        <v>75</v>
      </c>
      <c r="H11" s="2" t="s">
        <v>25</v>
      </c>
      <c r="I11" s="4" t="s">
        <v>12</v>
      </c>
      <c r="J11" s="4">
        <v>46321</v>
      </c>
      <c r="K11" s="4">
        <v>46325</v>
      </c>
      <c r="L11" s="21">
        <f t="shared" si="0"/>
        <v>5</v>
      </c>
      <c r="M11" s="5">
        <f t="shared" ca="1" si="1"/>
        <v>0.2</v>
      </c>
      <c r="N11" s="21">
        <f t="shared" ca="1" si="2"/>
        <v>4</v>
      </c>
      <c r="O11" s="2" t="str">
        <f t="shared" ca="1" si="3"/>
        <v>PROXIMA</v>
      </c>
      <c r="P11" s="17" t="str">
        <f t="shared" ca="1" si="4"/>
        <v>AMARILLO</v>
      </c>
      <c r="Q11" s="20" t="str">
        <f t="shared" si="5"/>
        <v/>
      </c>
      <c r="R11" s="2" t="s">
        <v>124</v>
      </c>
      <c r="S11" s="6"/>
      <c r="T11" s="6"/>
      <c r="U11" s="22"/>
      <c r="V11" s="4"/>
      <c r="W11" s="4" t="s">
        <v>125</v>
      </c>
      <c r="X11" s="4">
        <v>46325</v>
      </c>
      <c r="Y11" t="s">
        <v>86</v>
      </c>
    </row>
    <row r="12" spans="1:25">
      <c r="A12" s="2"/>
      <c r="B12" s="2"/>
      <c r="C12" s="2"/>
      <c r="D12" s="3"/>
      <c r="E12" s="3"/>
      <c r="F12" s="3"/>
      <c r="G12" s="2"/>
      <c r="H12" s="2"/>
      <c r="I12" s="4"/>
      <c r="J12" s="4"/>
      <c r="K12" s="4"/>
      <c r="L12" s="21" t="str">
        <f t="shared" si="0"/>
        <v/>
      </c>
      <c r="M12" s="5" t="str">
        <f t="shared" ca="1" si="1"/>
        <v/>
      </c>
      <c r="N12" s="21" t="str">
        <f t="shared" ca="1" si="2"/>
        <v/>
      </c>
      <c r="O12" s="2" t="str">
        <f t="shared" si="3"/>
        <v/>
      </c>
      <c r="P12" s="17" t="str">
        <f t="shared" si="4"/>
        <v/>
      </c>
      <c r="Q12" s="20" t="str">
        <f t="shared" si="5"/>
        <v/>
      </c>
      <c r="R12" s="2"/>
      <c r="S12" s="6"/>
      <c r="T12" s="6"/>
      <c r="U12" s="22"/>
      <c r="V12" s="4"/>
      <c r="W12" s="4"/>
      <c r="X12" s="4"/>
    </row>
    <row r="13" spans="1:25">
      <c r="A13" s="2"/>
      <c r="B13" s="2"/>
      <c r="C13" s="2"/>
      <c r="D13" s="3"/>
      <c r="E13" s="3"/>
      <c r="F13" s="3"/>
      <c r="G13" s="2"/>
      <c r="H13" s="2"/>
      <c r="I13" s="4"/>
      <c r="J13" s="4"/>
      <c r="K13" s="4"/>
      <c r="L13" s="21" t="str">
        <f t="shared" si="0"/>
        <v/>
      </c>
      <c r="M13" s="5" t="str">
        <f t="shared" ca="1" si="1"/>
        <v/>
      </c>
      <c r="N13" s="21" t="str">
        <f t="shared" ca="1" si="2"/>
        <v/>
      </c>
      <c r="O13" s="2" t="str">
        <f t="shared" si="3"/>
        <v/>
      </c>
      <c r="P13" s="17" t="str">
        <f t="shared" si="4"/>
        <v/>
      </c>
      <c r="Q13" s="20" t="str">
        <f t="shared" si="5"/>
        <v/>
      </c>
      <c r="R13" s="2"/>
      <c r="S13" s="6"/>
      <c r="T13" s="6"/>
      <c r="U13" s="22"/>
      <c r="V13" s="4"/>
      <c r="W13" s="4"/>
      <c r="X13" s="4"/>
    </row>
    <row r="14" spans="1:25">
      <c r="A14" s="2"/>
      <c r="B14" s="2"/>
      <c r="C14" s="2"/>
      <c r="D14" s="3"/>
      <c r="E14" s="3"/>
      <c r="F14" s="3"/>
      <c r="G14" s="2"/>
      <c r="H14" s="2"/>
      <c r="I14" s="4"/>
      <c r="J14" s="4"/>
      <c r="K14" s="4"/>
      <c r="L14" s="21" t="str">
        <f t="shared" si="0"/>
        <v/>
      </c>
      <c r="M14" s="5" t="str">
        <f t="shared" ca="1" si="1"/>
        <v/>
      </c>
      <c r="N14" s="21" t="str">
        <f t="shared" ca="1" si="2"/>
        <v/>
      </c>
      <c r="O14" s="2" t="str">
        <f t="shared" si="3"/>
        <v/>
      </c>
      <c r="P14" s="17" t="str">
        <f t="shared" si="4"/>
        <v/>
      </c>
      <c r="Q14" s="20" t="str">
        <f t="shared" si="5"/>
        <v/>
      </c>
      <c r="R14" s="2"/>
      <c r="S14" s="6"/>
      <c r="T14" s="6"/>
      <c r="U14" s="22"/>
      <c r="V14" s="4"/>
      <c r="W14" s="4"/>
      <c r="X14" s="4"/>
    </row>
    <row r="15" spans="1:25">
      <c r="A15" s="2"/>
      <c r="B15" s="2"/>
      <c r="C15" s="2"/>
      <c r="D15" s="3"/>
      <c r="E15" s="3"/>
      <c r="F15" s="3"/>
      <c r="G15" s="2"/>
      <c r="H15" s="2"/>
      <c r="I15" s="4"/>
      <c r="J15" s="4"/>
      <c r="K15" s="4"/>
      <c r="L15" s="21" t="str">
        <f t="shared" si="0"/>
        <v/>
      </c>
      <c r="M15" s="5" t="str">
        <f t="shared" ca="1" si="1"/>
        <v/>
      </c>
      <c r="N15" s="21" t="str">
        <f t="shared" ca="1" si="2"/>
        <v/>
      </c>
      <c r="O15" s="2" t="str">
        <f t="shared" si="3"/>
        <v/>
      </c>
      <c r="P15" s="17" t="str">
        <f t="shared" si="4"/>
        <v/>
      </c>
      <c r="Q15" s="20" t="str">
        <f t="shared" si="5"/>
        <v/>
      </c>
      <c r="R15" s="2"/>
      <c r="S15" s="6"/>
      <c r="T15" s="6"/>
      <c r="U15" s="22"/>
      <c r="V15" s="4"/>
      <c r="W15" s="4"/>
      <c r="X15" s="4"/>
    </row>
    <row r="16" spans="1:25">
      <c r="A16" s="2"/>
      <c r="B16" s="2"/>
      <c r="C16" s="2"/>
      <c r="D16" s="3"/>
      <c r="E16" s="3"/>
      <c r="F16" s="3"/>
      <c r="G16" s="2"/>
      <c r="H16" s="2"/>
      <c r="I16" s="4"/>
      <c r="J16" s="4"/>
      <c r="K16" s="4"/>
      <c r="L16" s="21" t="str">
        <f t="shared" si="0"/>
        <v/>
      </c>
      <c r="M16" s="5" t="str">
        <f t="shared" ca="1" si="1"/>
        <v/>
      </c>
      <c r="N16" s="21" t="str">
        <f t="shared" ca="1" si="2"/>
        <v/>
      </c>
      <c r="O16" s="2" t="str">
        <f t="shared" si="3"/>
        <v/>
      </c>
      <c r="P16" s="17" t="str">
        <f t="shared" si="4"/>
        <v/>
      </c>
      <c r="Q16" s="20" t="str">
        <f t="shared" si="5"/>
        <v/>
      </c>
      <c r="R16" s="2"/>
      <c r="S16" s="6"/>
      <c r="T16" s="6"/>
      <c r="U16" s="22"/>
      <c r="V16" s="4"/>
      <c r="W16" s="4"/>
      <c r="X16" s="4"/>
    </row>
    <row r="17" spans="1:24">
      <c r="A17" s="2"/>
      <c r="B17" s="2"/>
      <c r="C17" s="2"/>
      <c r="D17" s="3"/>
      <c r="E17" s="3"/>
      <c r="F17" s="3"/>
      <c r="G17" s="2"/>
      <c r="H17" s="2"/>
      <c r="I17" s="4"/>
      <c r="J17" s="4"/>
      <c r="K17" s="4"/>
      <c r="L17" s="21" t="str">
        <f t="shared" si="0"/>
        <v/>
      </c>
      <c r="M17" s="5" t="str">
        <f t="shared" ca="1" si="1"/>
        <v/>
      </c>
      <c r="N17" s="21" t="str">
        <f t="shared" ca="1" si="2"/>
        <v/>
      </c>
      <c r="O17" s="2" t="str">
        <f t="shared" si="3"/>
        <v/>
      </c>
      <c r="P17" s="17" t="str">
        <f t="shared" si="4"/>
        <v/>
      </c>
      <c r="Q17" s="20" t="str">
        <f t="shared" si="5"/>
        <v/>
      </c>
      <c r="R17" s="2"/>
      <c r="S17" s="6"/>
      <c r="T17" s="6"/>
      <c r="U17" s="22"/>
      <c r="V17" s="4"/>
      <c r="W17" s="4"/>
      <c r="X17" s="4"/>
    </row>
    <row r="18" spans="1:24">
      <c r="A18" s="2"/>
      <c r="B18" s="2"/>
      <c r="C18" s="2"/>
      <c r="D18" s="3"/>
      <c r="E18" s="3"/>
      <c r="F18" s="3"/>
      <c r="G18" s="2"/>
      <c r="H18" s="2"/>
      <c r="I18" s="4"/>
      <c r="J18" s="4"/>
      <c r="K18" s="4"/>
      <c r="L18" s="21" t="str">
        <f t="shared" si="0"/>
        <v/>
      </c>
      <c r="M18" s="5" t="str">
        <f t="shared" ca="1" si="1"/>
        <v/>
      </c>
      <c r="N18" s="21" t="str">
        <f t="shared" ca="1" si="2"/>
        <v/>
      </c>
      <c r="O18" s="2" t="str">
        <f t="shared" si="3"/>
        <v/>
      </c>
      <c r="P18" s="17" t="str">
        <f t="shared" si="4"/>
        <v/>
      </c>
      <c r="Q18" s="20" t="str">
        <f t="shared" si="5"/>
        <v/>
      </c>
      <c r="R18" s="2"/>
      <c r="S18" s="6"/>
      <c r="T18" s="6"/>
      <c r="U18" s="22"/>
      <c r="V18" s="4"/>
      <c r="W18" s="4"/>
      <c r="X18" s="4"/>
    </row>
    <row r="19" spans="1:24">
      <c r="A19" s="2"/>
      <c r="B19" s="2"/>
      <c r="C19" s="2"/>
      <c r="D19" s="3"/>
      <c r="E19" s="3"/>
      <c r="F19" s="3"/>
      <c r="G19" s="2"/>
      <c r="H19" s="2"/>
      <c r="I19" s="4"/>
      <c r="J19" s="4"/>
      <c r="K19" s="4"/>
      <c r="L19" s="21" t="str">
        <f t="shared" si="0"/>
        <v/>
      </c>
      <c r="M19" s="5" t="str">
        <f t="shared" ca="1" si="1"/>
        <v/>
      </c>
      <c r="N19" s="21" t="str">
        <f t="shared" ca="1" si="2"/>
        <v/>
      </c>
      <c r="O19" s="2" t="str">
        <f t="shared" si="3"/>
        <v/>
      </c>
      <c r="P19" s="17" t="str">
        <f t="shared" si="4"/>
        <v/>
      </c>
      <c r="Q19" s="20" t="str">
        <f t="shared" si="5"/>
        <v/>
      </c>
      <c r="R19" s="2"/>
      <c r="S19" s="6"/>
      <c r="T19" s="6"/>
      <c r="U19" s="22"/>
      <c r="V19" s="4"/>
      <c r="W19" s="4"/>
      <c r="X19" s="4"/>
    </row>
    <row r="20" spans="1:24">
      <c r="A20" s="2"/>
      <c r="B20" s="2"/>
      <c r="C20" s="2"/>
      <c r="D20" s="3"/>
      <c r="E20" s="3"/>
      <c r="F20" s="3"/>
      <c r="G20" s="2"/>
      <c r="H20" s="2"/>
      <c r="I20" s="4"/>
      <c r="J20" s="4"/>
      <c r="K20" s="4"/>
      <c r="L20" s="21" t="str">
        <f t="shared" si="0"/>
        <v/>
      </c>
      <c r="M20" s="5" t="str">
        <f t="shared" ca="1" si="1"/>
        <v/>
      </c>
      <c r="N20" s="21" t="str">
        <f t="shared" ca="1" si="2"/>
        <v/>
      </c>
      <c r="O20" s="2" t="str">
        <f t="shared" si="3"/>
        <v/>
      </c>
      <c r="P20" s="17" t="str">
        <f t="shared" si="4"/>
        <v/>
      </c>
      <c r="Q20" s="20" t="str">
        <f t="shared" si="5"/>
        <v/>
      </c>
      <c r="R20" s="2"/>
      <c r="S20" s="6"/>
      <c r="T20" s="6"/>
      <c r="U20" s="22"/>
      <c r="V20" s="4"/>
      <c r="W20" s="4"/>
      <c r="X20" s="4"/>
    </row>
    <row r="21" spans="1:24">
      <c r="A21" s="2"/>
      <c r="B21" s="2"/>
      <c r="C21" s="2"/>
      <c r="D21" s="3"/>
      <c r="E21" s="3"/>
      <c r="F21" s="3"/>
      <c r="G21" s="2"/>
      <c r="H21" s="2"/>
      <c r="I21" s="4"/>
      <c r="J21" s="4"/>
      <c r="K21" s="4"/>
      <c r="L21" s="21" t="str">
        <f t="shared" si="0"/>
        <v/>
      </c>
      <c r="M21" s="5" t="str">
        <f t="shared" ca="1" si="1"/>
        <v/>
      </c>
      <c r="N21" s="21" t="str">
        <f t="shared" ca="1" si="2"/>
        <v/>
      </c>
      <c r="O21" s="2" t="str">
        <f t="shared" si="3"/>
        <v/>
      </c>
      <c r="P21" s="17" t="str">
        <f t="shared" si="4"/>
        <v/>
      </c>
      <c r="Q21" s="20" t="str">
        <f t="shared" si="5"/>
        <v/>
      </c>
      <c r="R21" s="2"/>
      <c r="S21" s="6"/>
      <c r="T21" s="6"/>
      <c r="U21" s="22"/>
      <c r="V21" s="4"/>
      <c r="W21" s="4"/>
      <c r="X21" s="4"/>
    </row>
    <row r="22" spans="1:24">
      <c r="A22" s="2"/>
      <c r="B22" s="2"/>
      <c r="C22" s="2"/>
      <c r="D22" s="3"/>
      <c r="E22" s="3"/>
      <c r="F22" s="3"/>
      <c r="G22" s="2"/>
      <c r="H22" s="2"/>
      <c r="I22" s="4"/>
      <c r="J22" s="4"/>
      <c r="K22" s="4"/>
      <c r="L22" s="21" t="str">
        <f t="shared" si="0"/>
        <v/>
      </c>
      <c r="M22" s="5" t="str">
        <f t="shared" ca="1" si="1"/>
        <v/>
      </c>
      <c r="N22" s="21" t="str">
        <f t="shared" ca="1" si="2"/>
        <v/>
      </c>
      <c r="O22" s="2" t="str">
        <f t="shared" si="3"/>
        <v/>
      </c>
      <c r="P22" s="17" t="str">
        <f t="shared" si="4"/>
        <v/>
      </c>
      <c r="Q22" s="20" t="str">
        <f t="shared" si="5"/>
        <v/>
      </c>
      <c r="R22" s="2"/>
      <c r="S22" s="6"/>
      <c r="T22" s="6"/>
      <c r="U22" s="22"/>
      <c r="V22" s="4"/>
      <c r="W22" s="4"/>
      <c r="X22" s="4"/>
    </row>
    <row r="23" spans="1:24">
      <c r="A23" s="2"/>
      <c r="B23" s="2"/>
      <c r="C23" s="2"/>
      <c r="D23" s="3"/>
      <c r="E23" s="3"/>
      <c r="F23" s="3"/>
      <c r="G23" s="2"/>
      <c r="H23" s="2"/>
      <c r="I23" s="4"/>
      <c r="J23" s="4"/>
      <c r="K23" s="4"/>
      <c r="L23" s="21" t="str">
        <f t="shared" si="0"/>
        <v/>
      </c>
      <c r="M23" s="5" t="str">
        <f t="shared" ca="1" si="1"/>
        <v/>
      </c>
      <c r="N23" s="21" t="str">
        <f t="shared" ca="1" si="2"/>
        <v/>
      </c>
      <c r="O23" s="2" t="str">
        <f t="shared" si="3"/>
        <v/>
      </c>
      <c r="P23" s="17" t="str">
        <f t="shared" si="4"/>
        <v/>
      </c>
      <c r="Q23" s="20" t="str">
        <f t="shared" si="5"/>
        <v/>
      </c>
      <c r="R23" s="2"/>
      <c r="S23" s="6"/>
      <c r="T23" s="6"/>
      <c r="U23" s="22"/>
      <c r="V23" s="4"/>
      <c r="W23" s="4"/>
      <c r="X23" s="4"/>
    </row>
    <row r="24" spans="1:24">
      <c r="A24" s="2"/>
      <c r="B24" s="2"/>
      <c r="C24" s="2"/>
      <c r="D24" s="3"/>
      <c r="E24" s="3"/>
      <c r="F24" s="3"/>
      <c r="G24" s="2"/>
      <c r="H24" s="2"/>
      <c r="I24" s="4"/>
      <c r="J24" s="4"/>
      <c r="K24" s="4"/>
      <c r="L24" s="21" t="str">
        <f t="shared" si="0"/>
        <v/>
      </c>
      <c r="M24" s="5" t="str">
        <f t="shared" ca="1" si="1"/>
        <v/>
      </c>
      <c r="N24" s="21" t="str">
        <f t="shared" ca="1" si="2"/>
        <v/>
      </c>
      <c r="O24" s="2" t="str">
        <f t="shared" si="3"/>
        <v/>
      </c>
      <c r="P24" s="17" t="str">
        <f t="shared" si="4"/>
        <v/>
      </c>
      <c r="Q24" s="20" t="str">
        <f t="shared" si="5"/>
        <v/>
      </c>
      <c r="R24" s="2"/>
      <c r="S24" s="6"/>
      <c r="T24" s="6"/>
      <c r="U24" s="22"/>
      <c r="V24" s="4"/>
      <c r="W24" s="4"/>
      <c r="X24" s="4"/>
    </row>
    <row r="25" spans="1:24">
      <c r="A25" s="2"/>
      <c r="B25" s="2"/>
      <c r="C25" s="2"/>
      <c r="D25" s="3"/>
      <c r="E25" s="3"/>
      <c r="F25" s="3"/>
      <c r="G25" s="2"/>
      <c r="H25" s="2"/>
      <c r="I25" s="4"/>
      <c r="J25" s="4"/>
      <c r="K25" s="4"/>
      <c r="L25" s="21" t="str">
        <f t="shared" si="0"/>
        <v/>
      </c>
      <c r="M25" s="5" t="str">
        <f t="shared" ca="1" si="1"/>
        <v/>
      </c>
      <c r="N25" s="21" t="str">
        <f t="shared" ca="1" si="2"/>
        <v/>
      </c>
      <c r="O25" s="2" t="str">
        <f t="shared" si="3"/>
        <v/>
      </c>
      <c r="P25" s="17" t="str">
        <f t="shared" si="4"/>
        <v/>
      </c>
      <c r="Q25" s="20" t="str">
        <f t="shared" si="5"/>
        <v/>
      </c>
      <c r="R25" s="2"/>
      <c r="S25" s="6"/>
      <c r="T25" s="6"/>
      <c r="U25" s="22"/>
      <c r="V25" s="4"/>
      <c r="W25" s="4"/>
      <c r="X25" s="4"/>
    </row>
    <row r="26" spans="1:24">
      <c r="A26" s="2"/>
      <c r="B26" s="2"/>
      <c r="C26" s="2"/>
      <c r="D26" s="3"/>
      <c r="E26" s="3"/>
      <c r="F26" s="3"/>
      <c r="G26" s="2"/>
      <c r="H26" s="2"/>
      <c r="I26" s="4"/>
      <c r="J26" s="4"/>
      <c r="K26" s="4"/>
      <c r="L26" s="21" t="str">
        <f t="shared" si="0"/>
        <v/>
      </c>
      <c r="M26" s="5" t="str">
        <f t="shared" ca="1" si="1"/>
        <v/>
      </c>
      <c r="N26" s="21" t="str">
        <f t="shared" ca="1" si="2"/>
        <v/>
      </c>
      <c r="O26" s="2" t="str">
        <f t="shared" si="3"/>
        <v/>
      </c>
      <c r="P26" s="17" t="str">
        <f t="shared" si="4"/>
        <v/>
      </c>
      <c r="Q26" s="20" t="str">
        <f t="shared" si="5"/>
        <v/>
      </c>
      <c r="R26" s="2"/>
      <c r="S26" s="6"/>
      <c r="T26" s="6"/>
      <c r="U26" s="22"/>
      <c r="V26" s="4"/>
      <c r="W26" s="4"/>
      <c r="X26" s="4"/>
    </row>
    <row r="27" spans="1:24">
      <c r="A27" s="2"/>
      <c r="B27" s="2"/>
      <c r="C27" s="2"/>
      <c r="D27" s="3"/>
      <c r="E27" s="3"/>
      <c r="F27" s="3"/>
      <c r="G27" s="2"/>
      <c r="H27" s="2"/>
      <c r="I27" s="4"/>
      <c r="J27" s="4"/>
      <c r="K27" s="4"/>
      <c r="L27" s="21" t="str">
        <f t="shared" si="0"/>
        <v/>
      </c>
      <c r="M27" s="5" t="str">
        <f t="shared" ca="1" si="1"/>
        <v/>
      </c>
      <c r="N27" s="21" t="str">
        <f t="shared" ca="1" si="2"/>
        <v/>
      </c>
      <c r="O27" s="2" t="str">
        <f t="shared" si="3"/>
        <v/>
      </c>
      <c r="P27" s="17" t="str">
        <f t="shared" si="4"/>
        <v/>
      </c>
      <c r="Q27" s="20" t="str">
        <f t="shared" si="5"/>
        <v/>
      </c>
      <c r="R27" s="2"/>
      <c r="S27" s="6"/>
      <c r="T27" s="6"/>
      <c r="U27" s="22"/>
      <c r="V27" s="4"/>
      <c r="W27" s="4"/>
      <c r="X27" s="4"/>
    </row>
    <row r="28" spans="1:24">
      <c r="A28" s="2"/>
      <c r="B28" s="2"/>
      <c r="C28" s="2"/>
      <c r="D28" s="3"/>
      <c r="E28" s="3"/>
      <c r="F28" s="3"/>
      <c r="G28" s="2"/>
      <c r="H28" s="2"/>
      <c r="I28" s="4"/>
      <c r="J28" s="4"/>
      <c r="K28" s="4"/>
      <c r="L28" s="21" t="str">
        <f t="shared" si="0"/>
        <v/>
      </c>
      <c r="M28" s="5" t="str">
        <f t="shared" ca="1" si="1"/>
        <v/>
      </c>
      <c r="N28" s="21" t="str">
        <f t="shared" ca="1" si="2"/>
        <v/>
      </c>
      <c r="O28" s="2" t="str">
        <f t="shared" si="3"/>
        <v/>
      </c>
      <c r="P28" s="17" t="str">
        <f t="shared" si="4"/>
        <v/>
      </c>
      <c r="Q28" s="20" t="str">
        <f t="shared" si="5"/>
        <v/>
      </c>
      <c r="R28" s="2"/>
      <c r="S28" s="6"/>
      <c r="T28" s="6"/>
      <c r="U28" s="22"/>
      <c r="V28" s="4"/>
      <c r="W28" s="4"/>
      <c r="X28" s="4"/>
    </row>
    <row r="29" spans="1:24">
      <c r="A29" s="2"/>
      <c r="B29" s="2"/>
      <c r="C29" s="2"/>
      <c r="D29" s="3"/>
      <c r="E29" s="3"/>
      <c r="F29" s="3"/>
      <c r="G29" s="2"/>
      <c r="H29" s="2"/>
      <c r="I29" s="4"/>
      <c r="J29" s="4"/>
      <c r="K29" s="4"/>
      <c r="L29" s="21" t="str">
        <f t="shared" si="0"/>
        <v/>
      </c>
      <c r="M29" s="5" t="str">
        <f t="shared" ca="1" si="1"/>
        <v/>
      </c>
      <c r="N29" s="21" t="str">
        <f t="shared" ca="1" si="2"/>
        <v/>
      </c>
      <c r="O29" s="2" t="str">
        <f t="shared" si="3"/>
        <v/>
      </c>
      <c r="P29" s="17" t="str">
        <f t="shared" si="4"/>
        <v/>
      </c>
      <c r="Q29" s="20" t="str">
        <f t="shared" si="5"/>
        <v/>
      </c>
      <c r="R29" s="2"/>
      <c r="S29" s="6"/>
      <c r="T29" s="6"/>
      <c r="U29" s="22"/>
      <c r="V29" s="4"/>
      <c r="W29" s="4"/>
      <c r="X29" s="4"/>
    </row>
    <row r="30" spans="1:24">
      <c r="A30" s="2"/>
      <c r="B30" s="2"/>
      <c r="C30" s="2"/>
      <c r="D30" s="3"/>
      <c r="E30" s="3"/>
      <c r="F30" s="3"/>
      <c r="G30" s="2"/>
      <c r="H30" s="2"/>
      <c r="I30" s="4"/>
      <c r="J30" s="4"/>
      <c r="K30" s="4"/>
      <c r="L30" s="21" t="str">
        <f t="shared" si="0"/>
        <v/>
      </c>
      <c r="M30" s="5" t="str">
        <f t="shared" ca="1" si="1"/>
        <v/>
      </c>
      <c r="N30" s="21" t="str">
        <f t="shared" ca="1" si="2"/>
        <v/>
      </c>
      <c r="O30" s="2" t="str">
        <f t="shared" si="3"/>
        <v/>
      </c>
      <c r="P30" s="17" t="str">
        <f t="shared" si="4"/>
        <v/>
      </c>
      <c r="Q30" s="20" t="str">
        <f t="shared" si="5"/>
        <v/>
      </c>
      <c r="R30" s="2"/>
      <c r="S30" s="6"/>
      <c r="T30" s="6"/>
      <c r="U30" s="22"/>
      <c r="V30" s="4"/>
      <c r="W30" s="4"/>
      <c r="X30" s="4"/>
    </row>
    <row r="31" spans="1:24">
      <c r="A31" s="2"/>
      <c r="B31" s="2"/>
      <c r="C31" s="2"/>
      <c r="D31" s="3"/>
      <c r="E31" s="3"/>
      <c r="F31" s="3"/>
      <c r="G31" s="2"/>
      <c r="H31" s="2"/>
      <c r="I31" s="4"/>
      <c r="J31" s="4"/>
      <c r="K31" s="4"/>
      <c r="L31" s="21" t="str">
        <f t="shared" si="0"/>
        <v/>
      </c>
      <c r="M31" s="5" t="str">
        <f t="shared" ca="1" si="1"/>
        <v/>
      </c>
      <c r="N31" s="21" t="str">
        <f t="shared" ca="1" si="2"/>
        <v/>
      </c>
      <c r="O31" s="2" t="str">
        <f t="shared" si="3"/>
        <v/>
      </c>
      <c r="P31" s="17" t="str">
        <f t="shared" si="4"/>
        <v/>
      </c>
      <c r="Q31" s="20" t="str">
        <f t="shared" si="5"/>
        <v/>
      </c>
      <c r="R31" s="2"/>
      <c r="S31" s="6"/>
      <c r="T31" s="6"/>
      <c r="U31" s="22"/>
      <c r="V31" s="4"/>
      <c r="W31" s="4"/>
      <c r="X31" s="4"/>
    </row>
    <row r="32" spans="1:24">
      <c r="A32" s="2"/>
      <c r="B32" s="2"/>
      <c r="C32" s="2"/>
      <c r="D32" s="3"/>
      <c r="E32" s="3"/>
      <c r="F32" s="3"/>
      <c r="G32" s="2"/>
      <c r="H32" s="2"/>
      <c r="I32" s="4"/>
      <c r="J32" s="4"/>
      <c r="K32" s="4"/>
      <c r="L32" s="21" t="str">
        <f t="shared" si="0"/>
        <v/>
      </c>
      <c r="M32" s="5" t="str">
        <f t="shared" ca="1" si="1"/>
        <v/>
      </c>
      <c r="N32" s="21" t="str">
        <f t="shared" ca="1" si="2"/>
        <v/>
      </c>
      <c r="O32" s="2" t="str">
        <f t="shared" si="3"/>
        <v/>
      </c>
      <c r="P32" s="17" t="str">
        <f t="shared" si="4"/>
        <v/>
      </c>
      <c r="Q32" s="20" t="str">
        <f t="shared" si="5"/>
        <v/>
      </c>
      <c r="R32" s="2"/>
      <c r="S32" s="6"/>
      <c r="T32" s="6"/>
      <c r="U32" s="22"/>
      <c r="V32" s="4"/>
      <c r="W32" s="4"/>
      <c r="X32" s="4"/>
    </row>
    <row r="33" spans="1:24">
      <c r="A33" s="2"/>
      <c r="B33" s="2"/>
      <c r="C33" s="2"/>
      <c r="D33" s="3"/>
      <c r="E33" s="3"/>
      <c r="F33" s="3"/>
      <c r="G33" s="2"/>
      <c r="H33" s="2"/>
      <c r="I33" s="4"/>
      <c r="J33" s="4"/>
      <c r="K33" s="4"/>
      <c r="L33" s="21" t="str">
        <f t="shared" si="0"/>
        <v/>
      </c>
      <c r="M33" s="5" t="str">
        <f t="shared" ca="1" si="1"/>
        <v/>
      </c>
      <c r="N33" s="21" t="str">
        <f t="shared" ca="1" si="2"/>
        <v/>
      </c>
      <c r="O33" s="2" t="str">
        <f t="shared" si="3"/>
        <v/>
      </c>
      <c r="P33" s="17" t="str">
        <f t="shared" si="4"/>
        <v/>
      </c>
      <c r="Q33" s="20" t="str">
        <f t="shared" si="5"/>
        <v/>
      </c>
      <c r="R33" s="2"/>
      <c r="S33" s="6"/>
      <c r="T33" s="6"/>
      <c r="U33" s="22"/>
      <c r="V33" s="4"/>
      <c r="W33" s="4"/>
      <c r="X33" s="4"/>
    </row>
    <row r="34" spans="1:24">
      <c r="A34" s="2"/>
      <c r="B34" s="2"/>
      <c r="C34" s="2"/>
      <c r="D34" s="3"/>
      <c r="E34" s="3"/>
      <c r="F34" s="3"/>
      <c r="G34" s="2"/>
      <c r="H34" s="2"/>
      <c r="I34" s="4"/>
      <c r="J34" s="4"/>
      <c r="K34" s="4"/>
      <c r="L34" s="21" t="str">
        <f t="shared" si="0"/>
        <v/>
      </c>
      <c r="M34" s="5" t="str">
        <f t="shared" ca="1" si="1"/>
        <v/>
      </c>
      <c r="N34" s="21" t="str">
        <f t="shared" ca="1" si="2"/>
        <v/>
      </c>
      <c r="O34" s="2" t="str">
        <f t="shared" si="3"/>
        <v/>
      </c>
      <c r="P34" s="17" t="str">
        <f t="shared" si="4"/>
        <v/>
      </c>
      <c r="Q34" s="20" t="str">
        <f t="shared" si="5"/>
        <v/>
      </c>
      <c r="R34" s="2"/>
      <c r="S34" s="6"/>
      <c r="T34" s="6"/>
      <c r="U34" s="22"/>
      <c r="V34" s="4"/>
      <c r="W34" s="4"/>
      <c r="X34" s="4"/>
    </row>
    <row r="35" spans="1:24">
      <c r="A35" s="2"/>
      <c r="B35" s="2"/>
      <c r="C35" s="2"/>
      <c r="D35" s="3"/>
      <c r="E35" s="3"/>
      <c r="F35" s="3"/>
      <c r="G35" s="2"/>
      <c r="H35" s="2"/>
      <c r="I35" s="4"/>
      <c r="J35" s="4"/>
      <c r="K35" s="4"/>
      <c r="L35" s="21" t="str">
        <f t="shared" si="0"/>
        <v/>
      </c>
      <c r="M35" s="5" t="str">
        <f t="shared" ca="1" si="1"/>
        <v/>
      </c>
      <c r="N35" s="21" t="str">
        <f t="shared" ca="1" si="2"/>
        <v/>
      </c>
      <c r="O35" s="2" t="str">
        <f t="shared" si="3"/>
        <v/>
      </c>
      <c r="P35" s="17" t="str">
        <f t="shared" si="4"/>
        <v/>
      </c>
      <c r="Q35" s="20" t="str">
        <f t="shared" si="5"/>
        <v/>
      </c>
      <c r="R35" s="2"/>
      <c r="S35" s="6"/>
      <c r="T35" s="6"/>
      <c r="U35" s="22"/>
      <c r="V35" s="4"/>
      <c r="W35" s="4"/>
      <c r="X35" s="4"/>
    </row>
    <row r="36" spans="1:24">
      <c r="A36" s="2"/>
      <c r="B36" s="2"/>
      <c r="C36" s="2"/>
      <c r="D36" s="3"/>
      <c r="E36" s="3"/>
      <c r="F36" s="3"/>
      <c r="G36" s="2"/>
      <c r="H36" s="2"/>
      <c r="I36" s="4"/>
      <c r="J36" s="4"/>
      <c r="K36" s="4"/>
      <c r="L36" s="21" t="str">
        <f t="shared" si="0"/>
        <v/>
      </c>
      <c r="M36" s="5" t="str">
        <f t="shared" ca="1" si="1"/>
        <v/>
      </c>
      <c r="N36" s="21" t="str">
        <f t="shared" ca="1" si="2"/>
        <v/>
      </c>
      <c r="O36" s="2" t="str">
        <f t="shared" si="3"/>
        <v/>
      </c>
      <c r="P36" s="17" t="str">
        <f t="shared" si="4"/>
        <v/>
      </c>
      <c r="Q36" s="20" t="str">
        <f t="shared" si="5"/>
        <v/>
      </c>
      <c r="R36" s="2"/>
      <c r="S36" s="6"/>
      <c r="T36" s="6"/>
      <c r="U36" s="22"/>
      <c r="V36" s="4"/>
      <c r="W36" s="4"/>
      <c r="X36" s="4"/>
    </row>
    <row r="37" spans="1:24">
      <c r="A37" s="2"/>
      <c r="B37" s="2"/>
      <c r="C37" s="2"/>
      <c r="D37" s="3"/>
      <c r="E37" s="3"/>
      <c r="F37" s="3"/>
      <c r="G37" s="2"/>
      <c r="H37" s="2"/>
      <c r="I37" s="4"/>
      <c r="J37" s="4"/>
      <c r="K37" s="4"/>
      <c r="L37" s="21" t="str">
        <f t="shared" si="0"/>
        <v/>
      </c>
      <c r="M37" s="5" t="str">
        <f t="shared" ca="1" si="1"/>
        <v/>
      </c>
      <c r="N37" s="21" t="str">
        <f t="shared" ca="1" si="2"/>
        <v/>
      </c>
      <c r="O37" s="2" t="str">
        <f t="shared" si="3"/>
        <v/>
      </c>
      <c r="P37" s="17" t="str">
        <f t="shared" si="4"/>
        <v/>
      </c>
      <c r="Q37" s="20" t="str">
        <f t="shared" si="5"/>
        <v/>
      </c>
      <c r="R37" s="2"/>
      <c r="S37" s="6"/>
      <c r="T37" s="6"/>
      <c r="U37" s="22"/>
      <c r="V37" s="4"/>
      <c r="W37" s="4"/>
      <c r="X37" s="4"/>
    </row>
    <row r="38" spans="1:24">
      <c r="A38" s="2"/>
      <c r="B38" s="2"/>
      <c r="C38" s="2"/>
      <c r="D38" s="3"/>
      <c r="E38" s="3"/>
      <c r="F38" s="3"/>
      <c r="G38" s="2"/>
      <c r="H38" s="2"/>
      <c r="I38" s="4"/>
      <c r="J38" s="4"/>
      <c r="K38" s="4"/>
      <c r="L38" s="21" t="str">
        <f t="shared" si="0"/>
        <v/>
      </c>
      <c r="M38" s="5" t="str">
        <f t="shared" ca="1" si="1"/>
        <v/>
      </c>
      <c r="N38" s="21" t="str">
        <f t="shared" ca="1" si="2"/>
        <v/>
      </c>
      <c r="O38" s="2" t="str">
        <f t="shared" si="3"/>
        <v/>
      </c>
      <c r="P38" s="17" t="str">
        <f t="shared" si="4"/>
        <v/>
      </c>
      <c r="Q38" s="20" t="str">
        <f t="shared" si="5"/>
        <v/>
      </c>
      <c r="R38" s="2"/>
      <c r="S38" s="6"/>
      <c r="T38" s="6"/>
      <c r="U38" s="22"/>
      <c r="V38" s="4"/>
      <c r="W38" s="4"/>
      <c r="X38" s="4"/>
    </row>
    <row r="39" spans="1:24">
      <c r="A39" s="2"/>
      <c r="B39" s="2"/>
      <c r="C39" s="2"/>
      <c r="D39" s="3"/>
      <c r="E39" s="3"/>
      <c r="F39" s="3"/>
      <c r="G39" s="2"/>
      <c r="H39" s="2"/>
      <c r="I39" s="4"/>
      <c r="J39" s="4"/>
      <c r="K39" s="4"/>
      <c r="L39" s="21" t="str">
        <f t="shared" si="0"/>
        <v/>
      </c>
      <c r="M39" s="5" t="str">
        <f t="shared" ca="1" si="1"/>
        <v/>
      </c>
      <c r="N39" s="21" t="str">
        <f t="shared" ca="1" si="2"/>
        <v/>
      </c>
      <c r="O39" s="2" t="str">
        <f t="shared" si="3"/>
        <v/>
      </c>
      <c r="P39" s="17" t="str">
        <f t="shared" si="4"/>
        <v/>
      </c>
      <c r="Q39" s="20" t="str">
        <f t="shared" si="5"/>
        <v/>
      </c>
      <c r="R39" s="2"/>
      <c r="S39" s="6"/>
      <c r="T39" s="6"/>
      <c r="U39" s="22"/>
      <c r="V39" s="4"/>
      <c r="W39" s="4"/>
      <c r="X39" s="4"/>
    </row>
    <row r="40" spans="1:24">
      <c r="A40" s="2"/>
      <c r="B40" s="2"/>
      <c r="C40" s="2"/>
      <c r="D40" s="3"/>
      <c r="E40" s="3"/>
      <c r="F40" s="3"/>
      <c r="G40" s="2"/>
      <c r="H40" s="2"/>
      <c r="I40" s="4"/>
      <c r="J40" s="4"/>
      <c r="K40" s="4"/>
      <c r="L40" s="21" t="str">
        <f t="shared" si="0"/>
        <v/>
      </c>
      <c r="M40" s="5" t="str">
        <f t="shared" ca="1" si="1"/>
        <v/>
      </c>
      <c r="N40" s="21" t="str">
        <f t="shared" ca="1" si="2"/>
        <v/>
      </c>
      <c r="O40" s="2" t="str">
        <f t="shared" si="3"/>
        <v/>
      </c>
      <c r="P40" s="17" t="str">
        <f t="shared" si="4"/>
        <v/>
      </c>
      <c r="Q40" s="20" t="str">
        <f t="shared" si="5"/>
        <v/>
      </c>
      <c r="R40" s="2"/>
      <c r="S40" s="6"/>
      <c r="T40" s="6"/>
      <c r="U40" s="22"/>
      <c r="V40" s="4"/>
      <c r="W40" s="4"/>
      <c r="X40" s="4"/>
    </row>
    <row r="41" spans="1:24">
      <c r="A41" s="2"/>
      <c r="B41" s="2"/>
      <c r="C41" s="2"/>
      <c r="D41" s="3"/>
      <c r="E41" s="3"/>
      <c r="F41" s="3"/>
      <c r="G41" s="2"/>
      <c r="H41" s="2"/>
      <c r="I41" s="4"/>
      <c r="J41" s="4"/>
      <c r="K41" s="4"/>
      <c r="L41" s="21" t="str">
        <f t="shared" si="0"/>
        <v/>
      </c>
      <c r="M41" s="5" t="str">
        <f t="shared" ca="1" si="1"/>
        <v/>
      </c>
      <c r="N41" s="21" t="str">
        <f t="shared" ca="1" si="2"/>
        <v/>
      </c>
      <c r="O41" s="2" t="str">
        <f t="shared" si="3"/>
        <v/>
      </c>
      <c r="P41" s="17" t="str">
        <f t="shared" si="4"/>
        <v/>
      </c>
      <c r="Q41" s="20" t="str">
        <f t="shared" si="5"/>
        <v/>
      </c>
      <c r="R41" s="2"/>
      <c r="S41" s="6"/>
      <c r="T41" s="6"/>
      <c r="U41" s="22"/>
      <c r="V41" s="4"/>
      <c r="W41" s="4"/>
      <c r="X41" s="4"/>
    </row>
    <row r="42" spans="1:24">
      <c r="A42" s="2"/>
      <c r="B42" s="2"/>
      <c r="C42" s="2"/>
      <c r="D42" s="3"/>
      <c r="E42" s="3"/>
      <c r="F42" s="3"/>
      <c r="G42" s="2"/>
      <c r="H42" s="2"/>
      <c r="I42" s="4"/>
      <c r="J42" s="4"/>
      <c r="K42" s="4"/>
      <c r="L42" s="21" t="str">
        <f t="shared" si="0"/>
        <v/>
      </c>
      <c r="M42" s="5" t="str">
        <f t="shared" ca="1" si="1"/>
        <v/>
      </c>
      <c r="N42" s="21" t="str">
        <f t="shared" ca="1" si="2"/>
        <v/>
      </c>
      <c r="O42" s="2" t="str">
        <f t="shared" si="3"/>
        <v/>
      </c>
      <c r="P42" s="17" t="str">
        <f t="shared" si="4"/>
        <v/>
      </c>
      <c r="Q42" s="20" t="str">
        <f t="shared" si="5"/>
        <v/>
      </c>
      <c r="R42" s="2"/>
      <c r="S42" s="6"/>
      <c r="T42" s="6"/>
      <c r="U42" s="22"/>
      <c r="V42" s="4"/>
      <c r="W42" s="4"/>
      <c r="X42" s="4"/>
    </row>
    <row r="43" spans="1:24">
      <c r="A43" s="2"/>
      <c r="B43" s="2"/>
      <c r="C43" s="2"/>
      <c r="D43" s="3"/>
      <c r="E43" s="3"/>
      <c r="F43" s="3"/>
      <c r="G43" s="2"/>
      <c r="H43" s="2"/>
      <c r="I43" s="4"/>
      <c r="J43" s="4"/>
      <c r="K43" s="4"/>
      <c r="L43" s="21" t="str">
        <f t="shared" si="0"/>
        <v/>
      </c>
      <c r="M43" s="5" t="str">
        <f t="shared" ca="1" si="1"/>
        <v/>
      </c>
      <c r="N43" s="21" t="str">
        <f t="shared" ca="1" si="2"/>
        <v/>
      </c>
      <c r="O43" s="2" t="str">
        <f t="shared" si="3"/>
        <v/>
      </c>
      <c r="P43" s="17" t="str">
        <f t="shared" si="4"/>
        <v/>
      </c>
      <c r="Q43" s="20" t="str">
        <f t="shared" si="5"/>
        <v/>
      </c>
      <c r="R43" s="2"/>
      <c r="S43" s="6"/>
      <c r="T43" s="6"/>
      <c r="U43" s="22"/>
      <c r="V43" s="4"/>
      <c r="W43" s="4"/>
      <c r="X43" s="4"/>
    </row>
    <row r="44" spans="1:24">
      <c r="A44" s="2"/>
      <c r="B44" s="2"/>
      <c r="C44" s="2"/>
      <c r="D44" s="3"/>
      <c r="E44" s="3"/>
      <c r="F44" s="3"/>
      <c r="G44" s="2"/>
      <c r="H44" s="2"/>
      <c r="I44" s="4"/>
      <c r="J44" s="4"/>
      <c r="K44" s="4"/>
      <c r="L44" s="21" t="str">
        <f t="shared" si="0"/>
        <v/>
      </c>
      <c r="M44" s="5" t="str">
        <f t="shared" ca="1" si="1"/>
        <v/>
      </c>
      <c r="N44" s="21" t="str">
        <f t="shared" ca="1" si="2"/>
        <v/>
      </c>
      <c r="O44" s="2" t="str">
        <f t="shared" si="3"/>
        <v/>
      </c>
      <c r="P44" s="17" t="str">
        <f t="shared" si="4"/>
        <v/>
      </c>
      <c r="Q44" s="20" t="str">
        <f t="shared" si="5"/>
        <v/>
      </c>
      <c r="R44" s="2"/>
      <c r="S44" s="6"/>
      <c r="T44" s="6"/>
      <c r="U44" s="22"/>
      <c r="V44" s="4"/>
      <c r="W44" s="4"/>
      <c r="X44" s="4"/>
    </row>
    <row r="45" spans="1:24">
      <c r="A45" s="2"/>
      <c r="B45" s="2"/>
      <c r="C45" s="2"/>
      <c r="D45" s="3"/>
      <c r="E45" s="3"/>
      <c r="F45" s="3"/>
      <c r="G45" s="2"/>
      <c r="H45" s="2"/>
      <c r="I45" s="4"/>
      <c r="J45" s="4"/>
      <c r="K45" s="4"/>
      <c r="L45" s="21" t="str">
        <f t="shared" si="0"/>
        <v/>
      </c>
      <c r="M45" s="5" t="str">
        <f t="shared" ca="1" si="1"/>
        <v/>
      </c>
      <c r="N45" s="21" t="str">
        <f t="shared" ca="1" si="2"/>
        <v/>
      </c>
      <c r="O45" s="2" t="str">
        <f t="shared" si="3"/>
        <v/>
      </c>
      <c r="P45" s="17" t="str">
        <f t="shared" si="4"/>
        <v/>
      </c>
      <c r="Q45" s="20" t="str">
        <f t="shared" si="5"/>
        <v/>
      </c>
      <c r="R45" s="2"/>
      <c r="S45" s="6"/>
      <c r="T45" s="6"/>
      <c r="U45" s="22"/>
      <c r="V45" s="4"/>
      <c r="W45" s="4"/>
      <c r="X45" s="4"/>
    </row>
    <row r="46" spans="1:24">
      <c r="A46" s="2"/>
      <c r="B46" s="2"/>
      <c r="C46" s="2"/>
      <c r="D46" s="3"/>
      <c r="E46" s="3"/>
      <c r="F46" s="3"/>
      <c r="G46" s="2"/>
      <c r="H46" s="2"/>
      <c r="I46" s="4"/>
      <c r="J46" s="4"/>
      <c r="K46" s="4"/>
      <c r="L46" s="21" t="str">
        <f t="shared" si="0"/>
        <v/>
      </c>
      <c r="M46" s="5" t="str">
        <f t="shared" ca="1" si="1"/>
        <v/>
      </c>
      <c r="N46" s="21" t="str">
        <f t="shared" ca="1" si="2"/>
        <v/>
      </c>
      <c r="O46" s="2" t="str">
        <f t="shared" si="3"/>
        <v/>
      </c>
      <c r="P46" s="17" t="str">
        <f t="shared" si="4"/>
        <v/>
      </c>
      <c r="Q46" s="20" t="str">
        <f t="shared" si="5"/>
        <v/>
      </c>
      <c r="R46" s="2"/>
      <c r="S46" s="6"/>
      <c r="T46" s="6"/>
      <c r="U46" s="22"/>
      <c r="V46" s="4"/>
      <c r="W46" s="4"/>
      <c r="X46" s="4"/>
    </row>
    <row r="47" spans="1:24">
      <c r="A47" s="2"/>
      <c r="B47" s="2"/>
      <c r="C47" s="2"/>
      <c r="D47" s="3"/>
      <c r="E47" s="3"/>
      <c r="F47" s="3"/>
      <c r="G47" s="2"/>
      <c r="H47" s="2"/>
      <c r="I47" s="4"/>
      <c r="J47" s="4"/>
      <c r="K47" s="4"/>
      <c r="L47" s="21" t="str">
        <f t="shared" si="0"/>
        <v/>
      </c>
      <c r="M47" s="5" t="str">
        <f t="shared" ca="1" si="1"/>
        <v/>
      </c>
      <c r="N47" s="21" t="str">
        <f t="shared" ca="1" si="2"/>
        <v/>
      </c>
      <c r="O47" s="2" t="str">
        <f t="shared" si="3"/>
        <v/>
      </c>
      <c r="P47" s="17" t="str">
        <f t="shared" si="4"/>
        <v/>
      </c>
      <c r="Q47" s="20" t="str">
        <f t="shared" si="5"/>
        <v/>
      </c>
      <c r="R47" s="2"/>
      <c r="S47" s="6"/>
      <c r="T47" s="6"/>
      <c r="U47" s="22"/>
      <c r="V47" s="4"/>
      <c r="W47" s="4"/>
      <c r="X47" s="4"/>
    </row>
    <row r="48" spans="1:24">
      <c r="A48" s="2"/>
      <c r="B48" s="2"/>
      <c r="C48" s="2"/>
      <c r="D48" s="3"/>
      <c r="E48" s="3"/>
      <c r="F48" s="3"/>
      <c r="G48" s="2"/>
      <c r="H48" s="2"/>
      <c r="I48" s="4"/>
      <c r="J48" s="4"/>
      <c r="K48" s="4"/>
      <c r="L48" s="21" t="str">
        <f t="shared" si="0"/>
        <v/>
      </c>
      <c r="M48" s="5" t="str">
        <f t="shared" ca="1" si="1"/>
        <v/>
      </c>
      <c r="N48" s="21" t="str">
        <f t="shared" ca="1" si="2"/>
        <v/>
      </c>
      <c r="O48" s="2" t="str">
        <f t="shared" si="3"/>
        <v/>
      </c>
      <c r="P48" s="17" t="str">
        <f t="shared" si="4"/>
        <v/>
      </c>
      <c r="Q48" s="20" t="str">
        <f t="shared" si="5"/>
        <v/>
      </c>
      <c r="R48" s="2"/>
      <c r="S48" s="6"/>
      <c r="T48" s="6"/>
      <c r="U48" s="22"/>
      <c r="V48" s="4"/>
      <c r="W48" s="4"/>
      <c r="X48" s="4"/>
    </row>
    <row r="49" spans="1:24">
      <c r="A49" s="2"/>
      <c r="B49" s="2"/>
      <c r="C49" s="2"/>
      <c r="D49" s="3"/>
      <c r="E49" s="3"/>
      <c r="F49" s="3"/>
      <c r="G49" s="2"/>
      <c r="H49" s="2"/>
      <c r="I49" s="4"/>
      <c r="J49" s="4"/>
      <c r="K49" s="4"/>
      <c r="L49" s="21" t="str">
        <f t="shared" si="0"/>
        <v/>
      </c>
      <c r="M49" s="5" t="str">
        <f t="shared" ca="1" si="1"/>
        <v/>
      </c>
      <c r="N49" s="21" t="str">
        <f t="shared" ca="1" si="2"/>
        <v/>
      </c>
      <c r="O49" s="2" t="str">
        <f t="shared" si="3"/>
        <v/>
      </c>
      <c r="P49" s="17" t="str">
        <f t="shared" si="4"/>
        <v/>
      </c>
      <c r="Q49" s="20" t="str">
        <f t="shared" si="5"/>
        <v/>
      </c>
      <c r="R49" s="2"/>
      <c r="S49" s="6"/>
      <c r="T49" s="6"/>
      <c r="U49" s="22"/>
      <c r="V49" s="4"/>
      <c r="W49" s="4"/>
      <c r="X49" s="4"/>
    </row>
    <row r="50" spans="1:24">
      <c r="A50" s="2"/>
      <c r="B50" s="2"/>
      <c r="C50" s="2"/>
      <c r="D50" s="3"/>
      <c r="E50" s="3"/>
      <c r="F50" s="3"/>
      <c r="G50" s="2"/>
      <c r="H50" s="2"/>
      <c r="I50" s="4"/>
      <c r="J50" s="4"/>
      <c r="K50" s="4"/>
      <c r="L50" s="21" t="str">
        <f t="shared" si="0"/>
        <v/>
      </c>
      <c r="M50" s="5" t="str">
        <f t="shared" ca="1" si="1"/>
        <v/>
      </c>
      <c r="N50" s="21" t="str">
        <f t="shared" ca="1" si="2"/>
        <v/>
      </c>
      <c r="O50" s="2" t="str">
        <f t="shared" si="3"/>
        <v/>
      </c>
      <c r="P50" s="17" t="str">
        <f t="shared" si="4"/>
        <v/>
      </c>
      <c r="Q50" s="20" t="str">
        <f t="shared" si="5"/>
        <v/>
      </c>
      <c r="R50" s="2"/>
      <c r="S50" s="6"/>
      <c r="T50" s="6"/>
      <c r="U50" s="22"/>
      <c r="V50" s="4"/>
      <c r="W50" s="4"/>
      <c r="X50" s="4"/>
    </row>
    <row r="51" spans="1:24">
      <c r="A51" s="2"/>
      <c r="B51" s="2"/>
      <c r="C51" s="2"/>
      <c r="D51" s="3"/>
      <c r="E51" s="3"/>
      <c r="F51" s="3"/>
      <c r="G51" s="2"/>
      <c r="H51" s="2"/>
      <c r="I51" s="4"/>
      <c r="J51" s="4"/>
      <c r="K51" s="4"/>
      <c r="L51" s="21" t="str">
        <f t="shared" si="0"/>
        <v/>
      </c>
      <c r="M51" s="5" t="str">
        <f t="shared" ca="1" si="1"/>
        <v/>
      </c>
      <c r="N51" s="21" t="str">
        <f t="shared" ca="1" si="2"/>
        <v/>
      </c>
      <c r="O51" s="2" t="str">
        <f t="shared" si="3"/>
        <v/>
      </c>
      <c r="P51" s="17" t="str">
        <f t="shared" si="4"/>
        <v/>
      </c>
      <c r="Q51" s="20" t="str">
        <f t="shared" si="5"/>
        <v/>
      </c>
      <c r="R51" s="2"/>
      <c r="S51" s="6"/>
      <c r="T51" s="6"/>
      <c r="U51" s="22"/>
      <c r="V51" s="4"/>
      <c r="W51" s="4"/>
      <c r="X51" s="4"/>
    </row>
    <row r="52" spans="1:24">
      <c r="A52" s="2"/>
      <c r="B52" s="2"/>
      <c r="C52" s="2"/>
      <c r="D52" s="3"/>
      <c r="E52" s="3"/>
      <c r="F52" s="3"/>
      <c r="G52" s="2"/>
      <c r="H52" s="2"/>
      <c r="I52" s="4"/>
      <c r="J52" s="4"/>
      <c r="K52" s="4"/>
      <c r="L52" s="21" t="str">
        <f t="shared" si="0"/>
        <v/>
      </c>
      <c r="M52" s="5" t="str">
        <f t="shared" ca="1" si="1"/>
        <v/>
      </c>
      <c r="N52" s="21" t="str">
        <f t="shared" ca="1" si="2"/>
        <v/>
      </c>
      <c r="O52" s="2" t="str">
        <f t="shared" si="3"/>
        <v/>
      </c>
      <c r="P52" s="17" t="str">
        <f t="shared" si="4"/>
        <v/>
      </c>
      <c r="Q52" s="20" t="str">
        <f t="shared" si="5"/>
        <v/>
      </c>
      <c r="R52" s="2"/>
      <c r="S52" s="6"/>
      <c r="T52" s="6"/>
      <c r="U52" s="22"/>
      <c r="V52" s="4"/>
      <c r="W52" s="4"/>
      <c r="X52" s="4"/>
    </row>
    <row r="53" spans="1:24">
      <c r="A53" s="2"/>
      <c r="B53" s="2"/>
      <c r="C53" s="2"/>
      <c r="D53" s="3"/>
      <c r="E53" s="3"/>
      <c r="F53" s="3"/>
      <c r="G53" s="2"/>
      <c r="H53" s="2"/>
      <c r="I53" s="4"/>
      <c r="J53" s="4"/>
      <c r="K53" s="4"/>
      <c r="L53" s="21" t="str">
        <f t="shared" si="0"/>
        <v/>
      </c>
      <c r="M53" s="5" t="str">
        <f t="shared" ca="1" si="1"/>
        <v/>
      </c>
      <c r="N53" s="21" t="str">
        <f t="shared" ca="1" si="2"/>
        <v/>
      </c>
      <c r="O53" s="2" t="str">
        <f t="shared" si="3"/>
        <v/>
      </c>
      <c r="P53" s="17" t="str">
        <f t="shared" si="4"/>
        <v/>
      </c>
      <c r="Q53" s="20" t="str">
        <f t="shared" si="5"/>
        <v/>
      </c>
      <c r="R53" s="2"/>
      <c r="S53" s="6"/>
      <c r="T53" s="6"/>
      <c r="U53" s="22"/>
      <c r="V53" s="4"/>
      <c r="W53" s="4"/>
      <c r="X53" s="4"/>
    </row>
    <row r="54" spans="1:24">
      <c r="A54" s="2"/>
      <c r="B54" s="2"/>
      <c r="C54" s="2"/>
      <c r="D54" s="3"/>
      <c r="E54" s="3"/>
      <c r="F54" s="3"/>
      <c r="G54" s="2"/>
      <c r="H54" s="2"/>
      <c r="I54" s="4"/>
      <c r="J54" s="4"/>
      <c r="K54" s="4"/>
      <c r="L54" s="21" t="str">
        <f t="shared" si="0"/>
        <v/>
      </c>
      <c r="M54" s="5" t="str">
        <f t="shared" ca="1" si="1"/>
        <v/>
      </c>
      <c r="N54" s="21" t="str">
        <f t="shared" ca="1" si="2"/>
        <v/>
      </c>
      <c r="O54" s="2" t="str">
        <f t="shared" si="3"/>
        <v/>
      </c>
      <c r="P54" s="17" t="str">
        <f t="shared" si="4"/>
        <v/>
      </c>
      <c r="Q54" s="20" t="str">
        <f t="shared" si="5"/>
        <v/>
      </c>
      <c r="R54" s="2"/>
      <c r="S54" s="6"/>
      <c r="T54" s="6"/>
      <c r="U54" s="22"/>
      <c r="V54" s="4"/>
      <c r="W54" s="4"/>
      <c r="X54" s="4"/>
    </row>
    <row r="55" spans="1:24">
      <c r="A55" s="2"/>
      <c r="B55" s="2"/>
      <c r="C55" s="2"/>
      <c r="D55" s="3"/>
      <c r="E55" s="3"/>
      <c r="F55" s="3"/>
      <c r="G55" s="2"/>
      <c r="H55" s="2"/>
      <c r="I55" s="4"/>
      <c r="J55" s="4"/>
      <c r="K55" s="4"/>
      <c r="L55" s="21" t="str">
        <f t="shared" si="0"/>
        <v/>
      </c>
      <c r="M55" s="5" t="str">
        <f t="shared" ca="1" si="1"/>
        <v/>
      </c>
      <c r="N55" s="21" t="str">
        <f t="shared" ca="1" si="2"/>
        <v/>
      </c>
      <c r="O55" s="2" t="str">
        <f t="shared" si="3"/>
        <v/>
      </c>
      <c r="P55" s="17" t="str">
        <f t="shared" si="4"/>
        <v/>
      </c>
      <c r="Q55" s="20" t="str">
        <f t="shared" si="5"/>
        <v/>
      </c>
      <c r="R55" s="2"/>
      <c r="S55" s="6"/>
      <c r="T55" s="6"/>
      <c r="U55" s="22"/>
      <c r="V55" s="4"/>
      <c r="W55" s="4"/>
      <c r="X55" s="4"/>
    </row>
    <row r="56" spans="1:24">
      <c r="A56" s="2"/>
      <c r="B56" s="2"/>
      <c r="C56" s="2"/>
      <c r="D56" s="3"/>
      <c r="E56" s="3"/>
      <c r="F56" s="3"/>
      <c r="G56" s="2"/>
      <c r="H56" s="2"/>
      <c r="I56" s="4"/>
      <c r="J56" s="4"/>
      <c r="K56" s="4"/>
      <c r="L56" s="21" t="str">
        <f t="shared" si="0"/>
        <v/>
      </c>
      <c r="M56" s="5" t="str">
        <f t="shared" ca="1" si="1"/>
        <v/>
      </c>
      <c r="N56" s="21" t="str">
        <f t="shared" ca="1" si="2"/>
        <v/>
      </c>
      <c r="O56" s="2" t="str">
        <f t="shared" si="3"/>
        <v/>
      </c>
      <c r="P56" s="17" t="str">
        <f t="shared" si="4"/>
        <v/>
      </c>
      <c r="Q56" s="20" t="str">
        <f t="shared" si="5"/>
        <v/>
      </c>
      <c r="R56" s="2"/>
      <c r="S56" s="6"/>
      <c r="T56" s="6"/>
      <c r="U56" s="22"/>
      <c r="V56" s="4"/>
      <c r="W56" s="4"/>
      <c r="X56" s="4"/>
    </row>
    <row r="57" spans="1:24">
      <c r="A57" s="2"/>
      <c r="B57" s="2"/>
      <c r="C57" s="2"/>
      <c r="D57" s="3"/>
      <c r="E57" s="3"/>
      <c r="F57" s="3"/>
      <c r="G57" s="2"/>
      <c r="H57" s="2"/>
      <c r="I57" s="4"/>
      <c r="J57" s="4"/>
      <c r="K57" s="4"/>
      <c r="L57" s="21" t="str">
        <f t="shared" si="0"/>
        <v/>
      </c>
      <c r="M57" s="5" t="str">
        <f t="shared" ca="1" si="1"/>
        <v/>
      </c>
      <c r="N57" s="21" t="str">
        <f t="shared" ca="1" si="2"/>
        <v/>
      </c>
      <c r="O57" s="2" t="str">
        <f t="shared" si="3"/>
        <v/>
      </c>
      <c r="P57" s="17" t="str">
        <f t="shared" si="4"/>
        <v/>
      </c>
      <c r="Q57" s="20" t="str">
        <f t="shared" si="5"/>
        <v/>
      </c>
      <c r="R57" s="2"/>
      <c r="S57" s="6"/>
      <c r="T57" s="6"/>
      <c r="U57" s="22"/>
      <c r="V57" s="4"/>
      <c r="W57" s="4"/>
      <c r="X57" s="4"/>
    </row>
    <row r="58" spans="1:24">
      <c r="A58" s="2"/>
      <c r="B58" s="2"/>
      <c r="C58" s="2"/>
      <c r="D58" s="3"/>
      <c r="E58" s="3"/>
      <c r="F58" s="3"/>
      <c r="G58" s="2"/>
      <c r="H58" s="2"/>
      <c r="I58" s="4"/>
      <c r="J58" s="4"/>
      <c r="K58" s="4"/>
      <c r="L58" s="21" t="str">
        <f t="shared" si="0"/>
        <v/>
      </c>
      <c r="M58" s="5" t="str">
        <f t="shared" ca="1" si="1"/>
        <v/>
      </c>
      <c r="N58" s="21" t="str">
        <f t="shared" ca="1" si="2"/>
        <v/>
      </c>
      <c r="O58" s="2" t="str">
        <f t="shared" si="3"/>
        <v/>
      </c>
      <c r="P58" s="17" t="str">
        <f t="shared" si="4"/>
        <v/>
      </c>
      <c r="Q58" s="20" t="str">
        <f t="shared" si="5"/>
        <v/>
      </c>
      <c r="R58" s="2"/>
      <c r="S58" s="6"/>
      <c r="T58" s="6"/>
      <c r="U58" s="22"/>
      <c r="V58" s="4"/>
      <c r="W58" s="4"/>
      <c r="X58" s="4"/>
    </row>
    <row r="59" spans="1:24">
      <c r="A59" s="2"/>
      <c r="B59" s="2"/>
      <c r="C59" s="2"/>
      <c r="D59" s="3"/>
      <c r="E59" s="3"/>
      <c r="F59" s="3"/>
      <c r="G59" s="2"/>
      <c r="H59" s="2"/>
      <c r="I59" s="4"/>
      <c r="J59" s="4"/>
      <c r="K59" s="4"/>
      <c r="L59" s="21" t="str">
        <f t="shared" si="0"/>
        <v/>
      </c>
      <c r="M59" s="5" t="str">
        <f t="shared" ca="1" si="1"/>
        <v/>
      </c>
      <c r="N59" s="21" t="str">
        <f t="shared" ca="1" si="2"/>
        <v/>
      </c>
      <c r="O59" s="2" t="str">
        <f t="shared" si="3"/>
        <v/>
      </c>
      <c r="P59" s="17" t="str">
        <f t="shared" si="4"/>
        <v/>
      </c>
      <c r="Q59" s="20" t="str">
        <f t="shared" si="5"/>
        <v/>
      </c>
      <c r="R59" s="2"/>
      <c r="S59" s="6"/>
      <c r="T59" s="6"/>
      <c r="U59" s="22"/>
      <c r="V59" s="4"/>
      <c r="W59" s="4"/>
      <c r="X59" s="4"/>
    </row>
    <row r="60" spans="1:24">
      <c r="A60" s="2"/>
      <c r="B60" s="2"/>
      <c r="C60" s="2"/>
      <c r="D60" s="3"/>
      <c r="E60" s="3"/>
      <c r="F60" s="3"/>
      <c r="G60" s="2"/>
      <c r="H60" s="2"/>
      <c r="I60" s="4"/>
      <c r="J60" s="4"/>
      <c r="K60" s="4"/>
      <c r="L60" s="21" t="str">
        <f t="shared" si="0"/>
        <v/>
      </c>
      <c r="M60" s="5" t="str">
        <f t="shared" ca="1" si="1"/>
        <v/>
      </c>
      <c r="N60" s="21" t="str">
        <f t="shared" ca="1" si="2"/>
        <v/>
      </c>
      <c r="O60" s="2" t="str">
        <f t="shared" si="3"/>
        <v/>
      </c>
      <c r="P60" s="17" t="str">
        <f t="shared" si="4"/>
        <v/>
      </c>
      <c r="Q60" s="20" t="str">
        <f t="shared" si="5"/>
        <v/>
      </c>
      <c r="R60" s="2"/>
      <c r="S60" s="6"/>
      <c r="T60" s="6"/>
      <c r="U60" s="22"/>
      <c r="V60" s="4"/>
      <c r="W60" s="4"/>
      <c r="X60" s="4"/>
    </row>
    <row r="61" spans="1:24">
      <c r="A61" s="2"/>
      <c r="B61" s="2"/>
      <c r="C61" s="2"/>
      <c r="D61" s="3"/>
      <c r="E61" s="3"/>
      <c r="F61" s="3"/>
      <c r="G61" s="2"/>
      <c r="H61" s="2"/>
      <c r="I61" s="4"/>
      <c r="J61" s="4"/>
      <c r="K61" s="4"/>
      <c r="L61" s="21" t="str">
        <f t="shared" si="0"/>
        <v/>
      </c>
      <c r="M61" s="5" t="str">
        <f t="shared" ca="1" si="1"/>
        <v/>
      </c>
      <c r="N61" s="21" t="str">
        <f t="shared" ca="1" si="2"/>
        <v/>
      </c>
      <c r="O61" s="2" t="str">
        <f t="shared" si="3"/>
        <v/>
      </c>
      <c r="P61" s="17" t="str">
        <f t="shared" si="4"/>
        <v/>
      </c>
      <c r="Q61" s="20" t="str">
        <f t="shared" si="5"/>
        <v/>
      </c>
      <c r="R61" s="2"/>
      <c r="S61" s="6"/>
      <c r="T61" s="6"/>
      <c r="U61" s="22"/>
      <c r="V61" s="4"/>
      <c r="W61" s="4"/>
      <c r="X61" s="4"/>
    </row>
    <row r="62" spans="1:24">
      <c r="A62" s="2"/>
      <c r="B62" s="2"/>
      <c r="C62" s="2"/>
      <c r="D62" s="3"/>
      <c r="E62" s="3"/>
      <c r="F62" s="3"/>
      <c r="G62" s="2"/>
      <c r="H62" s="2"/>
      <c r="I62" s="4"/>
      <c r="J62" s="4"/>
      <c r="K62" s="4"/>
      <c r="L62" s="21" t="str">
        <f t="shared" si="0"/>
        <v/>
      </c>
      <c r="M62" s="5" t="str">
        <f t="shared" ca="1" si="1"/>
        <v/>
      </c>
      <c r="N62" s="21" t="str">
        <f t="shared" ca="1" si="2"/>
        <v/>
      </c>
      <c r="O62" s="2" t="str">
        <f t="shared" si="3"/>
        <v/>
      </c>
      <c r="P62" s="17" t="str">
        <f t="shared" si="4"/>
        <v/>
      </c>
      <c r="Q62" s="20" t="str">
        <f t="shared" si="5"/>
        <v/>
      </c>
      <c r="R62" s="2"/>
      <c r="S62" s="6"/>
      <c r="T62" s="6"/>
      <c r="U62" s="22"/>
      <c r="V62" s="4"/>
      <c r="W62" s="4"/>
      <c r="X62" s="4"/>
    </row>
    <row r="63" spans="1:24">
      <c r="A63" s="2"/>
      <c r="B63" s="2"/>
      <c r="C63" s="2"/>
      <c r="D63" s="3"/>
      <c r="E63" s="3"/>
      <c r="F63" s="3"/>
      <c r="G63" s="2"/>
      <c r="H63" s="2"/>
      <c r="I63" s="4"/>
      <c r="J63" s="4"/>
      <c r="K63" s="4"/>
      <c r="L63" s="21" t="str">
        <f t="shared" si="0"/>
        <v/>
      </c>
      <c r="M63" s="5" t="str">
        <f t="shared" ca="1" si="1"/>
        <v/>
      </c>
      <c r="N63" s="21" t="str">
        <f t="shared" ca="1" si="2"/>
        <v/>
      </c>
      <c r="O63" s="2" t="str">
        <f t="shared" si="3"/>
        <v/>
      </c>
      <c r="P63" s="17" t="str">
        <f t="shared" si="4"/>
        <v/>
      </c>
      <c r="Q63" s="20" t="str">
        <f t="shared" si="5"/>
        <v/>
      </c>
      <c r="R63" s="2"/>
      <c r="S63" s="6"/>
      <c r="T63" s="6"/>
      <c r="U63" s="22"/>
      <c r="V63" s="4"/>
      <c r="W63" s="4"/>
      <c r="X63" s="4"/>
    </row>
    <row r="64" spans="1:24">
      <c r="A64" s="2"/>
      <c r="B64" s="2"/>
      <c r="C64" s="2"/>
      <c r="D64" s="3"/>
      <c r="E64" s="3"/>
      <c r="F64" s="3"/>
      <c r="G64" s="2"/>
      <c r="H64" s="2"/>
      <c r="I64" s="4"/>
      <c r="J64" s="4"/>
      <c r="K64" s="4"/>
      <c r="L64" s="21" t="str">
        <f t="shared" si="0"/>
        <v/>
      </c>
      <c r="M64" s="5" t="str">
        <f t="shared" ca="1" si="1"/>
        <v/>
      </c>
      <c r="N64" s="21" t="str">
        <f t="shared" ca="1" si="2"/>
        <v/>
      </c>
      <c r="O64" s="2" t="str">
        <f t="shared" si="3"/>
        <v/>
      </c>
      <c r="P64" s="17" t="str">
        <f t="shared" si="4"/>
        <v/>
      </c>
      <c r="Q64" s="20" t="str">
        <f t="shared" si="5"/>
        <v/>
      </c>
      <c r="R64" s="2"/>
      <c r="S64" s="6"/>
      <c r="T64" s="6"/>
      <c r="U64" s="22"/>
      <c r="V64" s="4"/>
      <c r="W64" s="4"/>
      <c r="X64" s="4"/>
    </row>
    <row r="65" spans="1:24">
      <c r="A65" s="2"/>
      <c r="B65" s="2"/>
      <c r="C65" s="2"/>
      <c r="D65" s="3"/>
      <c r="E65" s="3"/>
      <c r="F65" s="3"/>
      <c r="G65" s="2"/>
      <c r="H65" s="2"/>
      <c r="I65" s="4"/>
      <c r="J65" s="4"/>
      <c r="K65" s="4"/>
      <c r="L65" s="21" t="str">
        <f t="shared" si="0"/>
        <v/>
      </c>
      <c r="M65" s="5" t="str">
        <f t="shared" ca="1" si="1"/>
        <v/>
      </c>
      <c r="N65" s="21" t="str">
        <f t="shared" ca="1" si="2"/>
        <v/>
      </c>
      <c r="O65" s="2" t="str">
        <f t="shared" si="3"/>
        <v/>
      </c>
      <c r="P65" s="17" t="str">
        <f t="shared" si="4"/>
        <v/>
      </c>
      <c r="Q65" s="20" t="str">
        <f t="shared" si="5"/>
        <v/>
      </c>
      <c r="R65" s="2"/>
      <c r="S65" s="6"/>
      <c r="T65" s="6"/>
      <c r="U65" s="22"/>
      <c r="V65" s="4"/>
      <c r="W65" s="4"/>
      <c r="X65" s="4"/>
    </row>
    <row r="66" spans="1:24">
      <c r="A66" s="2"/>
      <c r="B66" s="2"/>
      <c r="C66" s="2"/>
      <c r="D66" s="3"/>
      <c r="E66" s="3"/>
      <c r="F66" s="3"/>
      <c r="G66" s="2"/>
      <c r="H66" s="2"/>
      <c r="I66" s="4"/>
      <c r="J66" s="4"/>
      <c r="K66" s="4"/>
      <c r="L66" s="21" t="str">
        <f t="shared" ref="L66:L129" si="6">IF(A66="","",IF(OR(J66="",K66=""),"",MAX(1,K66-J66+1)))</f>
        <v/>
      </c>
      <c r="M66" s="5" t="str">
        <f t="shared" ref="M66:M129" ca="1" si="7">IF(A66="","",IF(B66="PROCESO",IF(COUNTIF($C$2:$C$301,A66)=0,0,SUMIF($C$2:$C$301,A66,$M$2:$M$301)/COUNTIF($C$2:$C$301,A66)),IF(OR(I66="Terminada",I66="Completada"),1,IF(OR(I66="No iniciada",I66="Cancelada"),0,IF(OR(J66="",K66=""),0,MIN(0.99,MAX(0,(TODAY()-J66+1)/MAX(1,K66-J66+1))))))))</f>
        <v/>
      </c>
      <c r="N66" s="21" t="str">
        <f t="shared" ref="N66:N129" ca="1" si="8">IF(A66="","",IF(K66="","",IF(OR(I66="Terminada",I66="Completada"),0,K66-TODAY())))</f>
        <v/>
      </c>
      <c r="O66" s="2" t="str">
        <f t="shared" ref="O66:O129" si="9">IF(A66="","",IF(B66="PROCESO",IF(COUNTIF($C$2:$C$301,A66)=0,"SIN ETAPAS",IF(M66=1,"TERMINADO",IF(N66&lt;0,"ATRASADO",IF(N66&lt;=3,"URGENTE",IF(N66&lt;=7,"PROXIMO","SIN ALERTA"))))),IF(OR(I66="Terminada",I66="Completada"),"TERMINADA",IF(I66="Bloqueada","BLOQUEADA",IF(N66&lt;0,"ATRASADA",IF(N66&lt;=3,"URGENTE",IF(N66&lt;=7,"PROXIMA","SIN ALERTA")))))))</f>
        <v/>
      </c>
      <c r="P66" s="17" t="str">
        <f t="shared" ref="P66:P129" si="10">IF(A66="","",IF(OR(I66="Terminada",I66="Completada"),"VERDE",IF(I66="Bloqueada","ROJO",IF(N66&lt;0,"ROJO",IF(N66&lt;=3,"ROJO",IF(N66&lt;=7,"AMARILLO","VERDE"))))))</f>
        <v/>
      </c>
      <c r="Q66" s="20" t="str">
        <f t="shared" ref="Q66:Q129" si="11">IF(A66="","",IF(OR(B66&lt;&gt;"ETAPA",C66=""),"",1/COUNTIF($C$2:$C$301,C66)))</f>
        <v/>
      </c>
      <c r="R66" s="2"/>
      <c r="S66" s="6"/>
      <c r="T66" s="6"/>
      <c r="U66" s="22"/>
      <c r="V66" s="4"/>
      <c r="W66" s="4"/>
      <c r="X66" s="4"/>
    </row>
    <row r="67" spans="1:24">
      <c r="A67" s="2"/>
      <c r="B67" s="2"/>
      <c r="C67" s="2"/>
      <c r="D67" s="3"/>
      <c r="E67" s="3"/>
      <c r="F67" s="3"/>
      <c r="G67" s="2"/>
      <c r="H67" s="2"/>
      <c r="I67" s="4"/>
      <c r="J67" s="4"/>
      <c r="K67" s="4"/>
      <c r="L67" s="21" t="str">
        <f t="shared" si="6"/>
        <v/>
      </c>
      <c r="M67" s="5" t="str">
        <f t="shared" ca="1" si="7"/>
        <v/>
      </c>
      <c r="N67" s="21" t="str">
        <f t="shared" ca="1" si="8"/>
        <v/>
      </c>
      <c r="O67" s="2" t="str">
        <f t="shared" si="9"/>
        <v/>
      </c>
      <c r="P67" s="17" t="str">
        <f t="shared" si="10"/>
        <v/>
      </c>
      <c r="Q67" s="20" t="str">
        <f t="shared" si="11"/>
        <v/>
      </c>
      <c r="R67" s="2"/>
      <c r="S67" s="6"/>
      <c r="T67" s="6"/>
      <c r="U67" s="22"/>
      <c r="V67" s="4"/>
      <c r="W67" s="4"/>
      <c r="X67" s="4"/>
    </row>
    <row r="68" spans="1:24">
      <c r="A68" s="2"/>
      <c r="B68" s="2"/>
      <c r="C68" s="2"/>
      <c r="D68" s="3"/>
      <c r="E68" s="3"/>
      <c r="F68" s="3"/>
      <c r="G68" s="2"/>
      <c r="H68" s="2"/>
      <c r="I68" s="4"/>
      <c r="J68" s="4"/>
      <c r="K68" s="4"/>
      <c r="L68" s="21" t="str">
        <f t="shared" si="6"/>
        <v/>
      </c>
      <c r="M68" s="5" t="str">
        <f t="shared" ca="1" si="7"/>
        <v/>
      </c>
      <c r="N68" s="21" t="str">
        <f t="shared" ca="1" si="8"/>
        <v/>
      </c>
      <c r="O68" s="2" t="str">
        <f t="shared" si="9"/>
        <v/>
      </c>
      <c r="P68" s="17" t="str">
        <f t="shared" si="10"/>
        <v/>
      </c>
      <c r="Q68" s="20" t="str">
        <f t="shared" si="11"/>
        <v/>
      </c>
      <c r="R68" s="2"/>
      <c r="S68" s="6"/>
      <c r="T68" s="6"/>
      <c r="U68" s="22"/>
      <c r="V68" s="4"/>
      <c r="W68" s="4"/>
      <c r="X68" s="4"/>
    </row>
    <row r="69" spans="1:24">
      <c r="A69" s="2"/>
      <c r="B69" s="2"/>
      <c r="C69" s="2"/>
      <c r="D69" s="3"/>
      <c r="E69" s="3"/>
      <c r="F69" s="3"/>
      <c r="G69" s="2"/>
      <c r="H69" s="2"/>
      <c r="I69" s="4"/>
      <c r="J69" s="4"/>
      <c r="K69" s="4"/>
      <c r="L69" s="21" t="str">
        <f t="shared" si="6"/>
        <v/>
      </c>
      <c r="M69" s="5" t="str">
        <f t="shared" ca="1" si="7"/>
        <v/>
      </c>
      <c r="N69" s="21" t="str">
        <f t="shared" ca="1" si="8"/>
        <v/>
      </c>
      <c r="O69" s="2" t="str">
        <f t="shared" si="9"/>
        <v/>
      </c>
      <c r="P69" s="17" t="str">
        <f t="shared" si="10"/>
        <v/>
      </c>
      <c r="Q69" s="20" t="str">
        <f t="shared" si="11"/>
        <v/>
      </c>
      <c r="R69" s="2"/>
      <c r="S69" s="6"/>
      <c r="T69" s="6"/>
      <c r="U69" s="22"/>
      <c r="V69" s="4"/>
      <c r="W69" s="4"/>
      <c r="X69" s="4"/>
    </row>
    <row r="70" spans="1:24">
      <c r="A70" s="2"/>
      <c r="B70" s="2"/>
      <c r="C70" s="2"/>
      <c r="D70" s="3"/>
      <c r="E70" s="3"/>
      <c r="F70" s="3"/>
      <c r="G70" s="2"/>
      <c r="H70" s="2"/>
      <c r="I70" s="4"/>
      <c r="J70" s="4"/>
      <c r="K70" s="4"/>
      <c r="L70" s="21" t="str">
        <f t="shared" si="6"/>
        <v/>
      </c>
      <c r="M70" s="5" t="str">
        <f t="shared" ca="1" si="7"/>
        <v/>
      </c>
      <c r="N70" s="21" t="str">
        <f t="shared" ca="1" si="8"/>
        <v/>
      </c>
      <c r="O70" s="2" t="str">
        <f t="shared" si="9"/>
        <v/>
      </c>
      <c r="P70" s="17" t="str">
        <f t="shared" si="10"/>
        <v/>
      </c>
      <c r="Q70" s="20" t="str">
        <f t="shared" si="11"/>
        <v/>
      </c>
      <c r="R70" s="2"/>
      <c r="S70" s="6"/>
      <c r="T70" s="6"/>
      <c r="U70" s="22"/>
      <c r="V70" s="4"/>
      <c r="W70" s="4"/>
      <c r="X70" s="4"/>
    </row>
    <row r="71" spans="1:24">
      <c r="A71" s="2"/>
      <c r="B71" s="2"/>
      <c r="C71" s="2"/>
      <c r="D71" s="3"/>
      <c r="E71" s="3"/>
      <c r="F71" s="3"/>
      <c r="G71" s="2"/>
      <c r="H71" s="2"/>
      <c r="I71" s="4"/>
      <c r="J71" s="4"/>
      <c r="K71" s="4"/>
      <c r="L71" s="21" t="str">
        <f t="shared" si="6"/>
        <v/>
      </c>
      <c r="M71" s="5" t="str">
        <f t="shared" ca="1" si="7"/>
        <v/>
      </c>
      <c r="N71" s="21" t="str">
        <f t="shared" ca="1" si="8"/>
        <v/>
      </c>
      <c r="O71" s="2" t="str">
        <f t="shared" si="9"/>
        <v/>
      </c>
      <c r="P71" s="17" t="str">
        <f t="shared" si="10"/>
        <v/>
      </c>
      <c r="Q71" s="20" t="str">
        <f t="shared" si="11"/>
        <v/>
      </c>
      <c r="R71" s="2"/>
      <c r="S71" s="6"/>
      <c r="T71" s="6"/>
      <c r="U71" s="22"/>
      <c r="V71" s="4"/>
      <c r="W71" s="4"/>
      <c r="X71" s="4"/>
    </row>
    <row r="72" spans="1:24">
      <c r="A72" s="2"/>
      <c r="B72" s="2"/>
      <c r="C72" s="2"/>
      <c r="D72" s="3"/>
      <c r="E72" s="3"/>
      <c r="F72" s="3"/>
      <c r="G72" s="2"/>
      <c r="H72" s="2"/>
      <c r="I72" s="4"/>
      <c r="J72" s="4"/>
      <c r="K72" s="4"/>
      <c r="L72" s="21" t="str">
        <f t="shared" si="6"/>
        <v/>
      </c>
      <c r="M72" s="5" t="str">
        <f t="shared" ca="1" si="7"/>
        <v/>
      </c>
      <c r="N72" s="21" t="str">
        <f t="shared" ca="1" si="8"/>
        <v/>
      </c>
      <c r="O72" s="2" t="str">
        <f t="shared" si="9"/>
        <v/>
      </c>
      <c r="P72" s="17" t="str">
        <f t="shared" si="10"/>
        <v/>
      </c>
      <c r="Q72" s="20" t="str">
        <f t="shared" si="11"/>
        <v/>
      </c>
      <c r="R72" s="2"/>
      <c r="S72" s="6"/>
      <c r="T72" s="6"/>
      <c r="U72" s="22"/>
      <c r="V72" s="4"/>
      <c r="W72" s="4"/>
      <c r="X72" s="4"/>
    </row>
    <row r="73" spans="1:24">
      <c r="A73" s="2"/>
      <c r="B73" s="2"/>
      <c r="C73" s="2"/>
      <c r="D73" s="3"/>
      <c r="E73" s="3"/>
      <c r="F73" s="3"/>
      <c r="G73" s="2"/>
      <c r="H73" s="2"/>
      <c r="I73" s="4"/>
      <c r="J73" s="4"/>
      <c r="K73" s="4"/>
      <c r="L73" s="21" t="str">
        <f t="shared" si="6"/>
        <v/>
      </c>
      <c r="M73" s="5" t="str">
        <f t="shared" ca="1" si="7"/>
        <v/>
      </c>
      <c r="N73" s="21" t="str">
        <f t="shared" ca="1" si="8"/>
        <v/>
      </c>
      <c r="O73" s="2" t="str">
        <f t="shared" si="9"/>
        <v/>
      </c>
      <c r="P73" s="17" t="str">
        <f t="shared" si="10"/>
        <v/>
      </c>
      <c r="Q73" s="20" t="str">
        <f t="shared" si="11"/>
        <v/>
      </c>
      <c r="R73" s="2"/>
      <c r="S73" s="6"/>
      <c r="T73" s="6"/>
      <c r="U73" s="22"/>
      <c r="V73" s="4"/>
      <c r="W73" s="4"/>
      <c r="X73" s="4"/>
    </row>
    <row r="74" spans="1:24">
      <c r="A74" s="2"/>
      <c r="B74" s="2"/>
      <c r="C74" s="2"/>
      <c r="D74" s="3"/>
      <c r="E74" s="3"/>
      <c r="F74" s="3"/>
      <c r="G74" s="2"/>
      <c r="H74" s="2"/>
      <c r="I74" s="4"/>
      <c r="J74" s="4"/>
      <c r="K74" s="4"/>
      <c r="L74" s="21" t="str">
        <f t="shared" si="6"/>
        <v/>
      </c>
      <c r="M74" s="5" t="str">
        <f t="shared" ca="1" si="7"/>
        <v/>
      </c>
      <c r="N74" s="21" t="str">
        <f t="shared" ca="1" si="8"/>
        <v/>
      </c>
      <c r="O74" s="2" t="str">
        <f t="shared" si="9"/>
        <v/>
      </c>
      <c r="P74" s="17" t="str">
        <f t="shared" si="10"/>
        <v/>
      </c>
      <c r="Q74" s="20" t="str">
        <f t="shared" si="11"/>
        <v/>
      </c>
      <c r="R74" s="2"/>
      <c r="S74" s="6"/>
      <c r="T74" s="6"/>
      <c r="U74" s="22"/>
      <c r="V74" s="4"/>
      <c r="W74" s="4"/>
      <c r="X74" s="4"/>
    </row>
    <row r="75" spans="1:24">
      <c r="A75" s="2"/>
      <c r="B75" s="2"/>
      <c r="C75" s="2"/>
      <c r="D75" s="3"/>
      <c r="E75" s="3"/>
      <c r="F75" s="3"/>
      <c r="G75" s="2"/>
      <c r="H75" s="2"/>
      <c r="I75" s="4"/>
      <c r="J75" s="4"/>
      <c r="K75" s="4"/>
      <c r="L75" s="21" t="str">
        <f t="shared" si="6"/>
        <v/>
      </c>
      <c r="M75" s="5" t="str">
        <f t="shared" ca="1" si="7"/>
        <v/>
      </c>
      <c r="N75" s="21" t="str">
        <f t="shared" ca="1" si="8"/>
        <v/>
      </c>
      <c r="O75" s="2" t="str">
        <f t="shared" si="9"/>
        <v/>
      </c>
      <c r="P75" s="17" t="str">
        <f t="shared" si="10"/>
        <v/>
      </c>
      <c r="Q75" s="20" t="str">
        <f t="shared" si="11"/>
        <v/>
      </c>
      <c r="R75" s="2"/>
      <c r="S75" s="6"/>
      <c r="T75" s="6"/>
      <c r="U75" s="22"/>
      <c r="V75" s="4"/>
      <c r="W75" s="4"/>
      <c r="X75" s="4"/>
    </row>
    <row r="76" spans="1:24">
      <c r="A76" s="2"/>
      <c r="B76" s="2"/>
      <c r="C76" s="2"/>
      <c r="D76" s="3"/>
      <c r="E76" s="3"/>
      <c r="F76" s="3"/>
      <c r="G76" s="2"/>
      <c r="H76" s="2"/>
      <c r="I76" s="4"/>
      <c r="J76" s="4"/>
      <c r="K76" s="4"/>
      <c r="L76" s="21" t="str">
        <f t="shared" si="6"/>
        <v/>
      </c>
      <c r="M76" s="5" t="str">
        <f t="shared" ca="1" si="7"/>
        <v/>
      </c>
      <c r="N76" s="21" t="str">
        <f t="shared" ca="1" si="8"/>
        <v/>
      </c>
      <c r="O76" s="2" t="str">
        <f t="shared" si="9"/>
        <v/>
      </c>
      <c r="P76" s="17" t="str">
        <f t="shared" si="10"/>
        <v/>
      </c>
      <c r="Q76" s="20" t="str">
        <f t="shared" si="11"/>
        <v/>
      </c>
      <c r="R76" s="2"/>
      <c r="S76" s="6"/>
      <c r="T76" s="6"/>
      <c r="U76" s="22"/>
      <c r="V76" s="4"/>
      <c r="W76" s="4"/>
      <c r="X76" s="4"/>
    </row>
    <row r="77" spans="1:24">
      <c r="A77" s="2"/>
      <c r="B77" s="2"/>
      <c r="C77" s="2"/>
      <c r="D77" s="3"/>
      <c r="E77" s="3"/>
      <c r="F77" s="3"/>
      <c r="G77" s="2"/>
      <c r="H77" s="2"/>
      <c r="I77" s="4"/>
      <c r="J77" s="4"/>
      <c r="K77" s="4"/>
      <c r="L77" s="21" t="str">
        <f t="shared" si="6"/>
        <v/>
      </c>
      <c r="M77" s="5" t="str">
        <f t="shared" ca="1" si="7"/>
        <v/>
      </c>
      <c r="N77" s="21" t="str">
        <f t="shared" ca="1" si="8"/>
        <v/>
      </c>
      <c r="O77" s="2" t="str">
        <f t="shared" si="9"/>
        <v/>
      </c>
      <c r="P77" s="17" t="str">
        <f t="shared" si="10"/>
        <v/>
      </c>
      <c r="Q77" s="20" t="str">
        <f t="shared" si="11"/>
        <v/>
      </c>
      <c r="R77" s="2"/>
      <c r="S77" s="6"/>
      <c r="T77" s="6"/>
      <c r="U77" s="22"/>
      <c r="V77" s="4"/>
      <c r="W77" s="4"/>
      <c r="X77" s="4"/>
    </row>
    <row r="78" spans="1:24">
      <c r="A78" s="2"/>
      <c r="B78" s="2"/>
      <c r="C78" s="2"/>
      <c r="D78" s="3"/>
      <c r="E78" s="3"/>
      <c r="F78" s="3"/>
      <c r="G78" s="2"/>
      <c r="H78" s="2"/>
      <c r="I78" s="4"/>
      <c r="J78" s="4"/>
      <c r="K78" s="4"/>
      <c r="L78" s="21" t="str">
        <f t="shared" si="6"/>
        <v/>
      </c>
      <c r="M78" s="5" t="str">
        <f t="shared" ca="1" si="7"/>
        <v/>
      </c>
      <c r="N78" s="21" t="str">
        <f t="shared" ca="1" si="8"/>
        <v/>
      </c>
      <c r="O78" s="2" t="str">
        <f t="shared" si="9"/>
        <v/>
      </c>
      <c r="P78" s="17" t="str">
        <f t="shared" si="10"/>
        <v/>
      </c>
      <c r="Q78" s="20" t="str">
        <f t="shared" si="11"/>
        <v/>
      </c>
      <c r="R78" s="2"/>
      <c r="S78" s="6"/>
      <c r="T78" s="6"/>
      <c r="U78" s="22"/>
      <c r="V78" s="4"/>
      <c r="W78" s="4"/>
      <c r="X78" s="4"/>
    </row>
    <row r="79" spans="1:24">
      <c r="A79" s="2"/>
      <c r="B79" s="2"/>
      <c r="C79" s="2"/>
      <c r="D79" s="3"/>
      <c r="E79" s="3"/>
      <c r="F79" s="3"/>
      <c r="G79" s="2"/>
      <c r="H79" s="2"/>
      <c r="I79" s="4"/>
      <c r="J79" s="4"/>
      <c r="K79" s="4"/>
      <c r="L79" s="21" t="str">
        <f t="shared" si="6"/>
        <v/>
      </c>
      <c r="M79" s="5" t="str">
        <f t="shared" ca="1" si="7"/>
        <v/>
      </c>
      <c r="N79" s="21" t="str">
        <f t="shared" ca="1" si="8"/>
        <v/>
      </c>
      <c r="O79" s="2" t="str">
        <f t="shared" si="9"/>
        <v/>
      </c>
      <c r="P79" s="17" t="str">
        <f t="shared" si="10"/>
        <v/>
      </c>
      <c r="Q79" s="20" t="str">
        <f t="shared" si="11"/>
        <v/>
      </c>
      <c r="R79" s="2"/>
      <c r="S79" s="6"/>
      <c r="T79" s="6"/>
      <c r="U79" s="22"/>
      <c r="V79" s="4"/>
      <c r="W79" s="4"/>
      <c r="X79" s="4"/>
    </row>
    <row r="80" spans="1:24">
      <c r="A80" s="2"/>
      <c r="B80" s="2"/>
      <c r="C80" s="2"/>
      <c r="D80" s="3"/>
      <c r="E80" s="3"/>
      <c r="F80" s="3"/>
      <c r="G80" s="2"/>
      <c r="H80" s="2"/>
      <c r="I80" s="4"/>
      <c r="J80" s="4"/>
      <c r="K80" s="4"/>
      <c r="L80" s="21" t="str">
        <f t="shared" si="6"/>
        <v/>
      </c>
      <c r="M80" s="5" t="str">
        <f t="shared" ca="1" si="7"/>
        <v/>
      </c>
      <c r="N80" s="21" t="str">
        <f t="shared" ca="1" si="8"/>
        <v/>
      </c>
      <c r="O80" s="2" t="str">
        <f t="shared" si="9"/>
        <v/>
      </c>
      <c r="P80" s="17" t="str">
        <f t="shared" si="10"/>
        <v/>
      </c>
      <c r="Q80" s="20" t="str">
        <f t="shared" si="11"/>
        <v/>
      </c>
      <c r="R80" s="2"/>
      <c r="S80" s="6"/>
      <c r="T80" s="6"/>
      <c r="U80" s="22"/>
      <c r="V80" s="4"/>
      <c r="W80" s="4"/>
      <c r="X80" s="4"/>
    </row>
    <row r="81" spans="1:24">
      <c r="A81" s="2"/>
      <c r="B81" s="2"/>
      <c r="C81" s="2"/>
      <c r="D81" s="3"/>
      <c r="E81" s="3"/>
      <c r="F81" s="3"/>
      <c r="G81" s="2"/>
      <c r="H81" s="2"/>
      <c r="I81" s="4"/>
      <c r="J81" s="4"/>
      <c r="K81" s="4"/>
      <c r="L81" s="21" t="str">
        <f t="shared" si="6"/>
        <v/>
      </c>
      <c r="M81" s="5" t="str">
        <f t="shared" ca="1" si="7"/>
        <v/>
      </c>
      <c r="N81" s="21" t="str">
        <f t="shared" ca="1" si="8"/>
        <v/>
      </c>
      <c r="O81" s="2" t="str">
        <f t="shared" si="9"/>
        <v/>
      </c>
      <c r="P81" s="17" t="str">
        <f t="shared" si="10"/>
        <v/>
      </c>
      <c r="Q81" s="20" t="str">
        <f t="shared" si="11"/>
        <v/>
      </c>
      <c r="R81" s="2"/>
      <c r="S81" s="6"/>
      <c r="T81" s="6"/>
      <c r="U81" s="22"/>
      <c r="V81" s="4"/>
      <c r="W81" s="4"/>
      <c r="X81" s="4"/>
    </row>
    <row r="82" spans="1:24">
      <c r="A82" s="2"/>
      <c r="B82" s="2"/>
      <c r="C82" s="2"/>
      <c r="D82" s="3"/>
      <c r="E82" s="3"/>
      <c r="F82" s="3"/>
      <c r="G82" s="2"/>
      <c r="H82" s="2"/>
      <c r="I82" s="4"/>
      <c r="J82" s="4"/>
      <c r="K82" s="4"/>
      <c r="L82" s="21" t="str">
        <f t="shared" si="6"/>
        <v/>
      </c>
      <c r="M82" s="5" t="str">
        <f t="shared" ca="1" si="7"/>
        <v/>
      </c>
      <c r="N82" s="21" t="str">
        <f t="shared" ca="1" si="8"/>
        <v/>
      </c>
      <c r="O82" s="2" t="str">
        <f t="shared" si="9"/>
        <v/>
      </c>
      <c r="P82" s="17" t="str">
        <f t="shared" si="10"/>
        <v/>
      </c>
      <c r="Q82" s="20" t="str">
        <f t="shared" si="11"/>
        <v/>
      </c>
      <c r="R82" s="2"/>
      <c r="S82" s="6"/>
      <c r="T82" s="6"/>
      <c r="U82" s="22"/>
      <c r="V82" s="4"/>
      <c r="W82" s="4"/>
      <c r="X82" s="4"/>
    </row>
    <row r="83" spans="1:24">
      <c r="A83" s="2"/>
      <c r="B83" s="2"/>
      <c r="C83" s="2"/>
      <c r="D83" s="3"/>
      <c r="E83" s="3"/>
      <c r="F83" s="3"/>
      <c r="G83" s="2"/>
      <c r="H83" s="2"/>
      <c r="I83" s="4"/>
      <c r="J83" s="4"/>
      <c r="K83" s="4"/>
      <c r="L83" s="21" t="str">
        <f t="shared" si="6"/>
        <v/>
      </c>
      <c r="M83" s="5" t="str">
        <f t="shared" ca="1" si="7"/>
        <v/>
      </c>
      <c r="N83" s="21" t="str">
        <f t="shared" ca="1" si="8"/>
        <v/>
      </c>
      <c r="O83" s="2" t="str">
        <f t="shared" si="9"/>
        <v/>
      </c>
      <c r="P83" s="17" t="str">
        <f t="shared" si="10"/>
        <v/>
      </c>
      <c r="Q83" s="20" t="str">
        <f t="shared" si="11"/>
        <v/>
      </c>
      <c r="R83" s="2"/>
      <c r="S83" s="6"/>
      <c r="T83" s="6"/>
      <c r="U83" s="22"/>
      <c r="V83" s="4"/>
      <c r="W83" s="4"/>
      <c r="X83" s="4"/>
    </row>
    <row r="84" spans="1:24">
      <c r="A84" s="2"/>
      <c r="B84" s="2"/>
      <c r="C84" s="2"/>
      <c r="D84" s="3"/>
      <c r="E84" s="3"/>
      <c r="F84" s="3"/>
      <c r="G84" s="2"/>
      <c r="H84" s="2"/>
      <c r="I84" s="4"/>
      <c r="J84" s="4"/>
      <c r="K84" s="4"/>
      <c r="L84" s="21" t="str">
        <f t="shared" si="6"/>
        <v/>
      </c>
      <c r="M84" s="5" t="str">
        <f t="shared" ca="1" si="7"/>
        <v/>
      </c>
      <c r="N84" s="21" t="str">
        <f t="shared" ca="1" si="8"/>
        <v/>
      </c>
      <c r="O84" s="2" t="str">
        <f t="shared" si="9"/>
        <v/>
      </c>
      <c r="P84" s="17" t="str">
        <f t="shared" si="10"/>
        <v/>
      </c>
      <c r="Q84" s="20" t="str">
        <f t="shared" si="11"/>
        <v/>
      </c>
      <c r="R84" s="2"/>
      <c r="S84" s="6"/>
      <c r="T84" s="6"/>
      <c r="U84" s="22"/>
      <c r="V84" s="4"/>
      <c r="W84" s="4"/>
      <c r="X84" s="4"/>
    </row>
    <row r="85" spans="1:24">
      <c r="A85" s="2"/>
      <c r="B85" s="2"/>
      <c r="C85" s="2"/>
      <c r="D85" s="3"/>
      <c r="E85" s="3"/>
      <c r="F85" s="3"/>
      <c r="G85" s="2"/>
      <c r="H85" s="2"/>
      <c r="I85" s="4"/>
      <c r="J85" s="4"/>
      <c r="K85" s="4"/>
      <c r="L85" s="21" t="str">
        <f t="shared" si="6"/>
        <v/>
      </c>
      <c r="M85" s="5" t="str">
        <f t="shared" ca="1" si="7"/>
        <v/>
      </c>
      <c r="N85" s="21" t="str">
        <f t="shared" ca="1" si="8"/>
        <v/>
      </c>
      <c r="O85" s="2" t="str">
        <f t="shared" si="9"/>
        <v/>
      </c>
      <c r="P85" s="17" t="str">
        <f t="shared" si="10"/>
        <v/>
      </c>
      <c r="Q85" s="20" t="str">
        <f t="shared" si="11"/>
        <v/>
      </c>
      <c r="R85" s="2"/>
      <c r="S85" s="6"/>
      <c r="T85" s="6"/>
      <c r="U85" s="22"/>
      <c r="V85" s="4"/>
      <c r="W85" s="4"/>
      <c r="X85" s="4"/>
    </row>
    <row r="86" spans="1:24">
      <c r="A86" s="2"/>
      <c r="B86" s="2"/>
      <c r="C86" s="2"/>
      <c r="D86" s="3"/>
      <c r="E86" s="3"/>
      <c r="F86" s="3"/>
      <c r="G86" s="2"/>
      <c r="H86" s="2"/>
      <c r="I86" s="4"/>
      <c r="J86" s="4"/>
      <c r="K86" s="4"/>
      <c r="L86" s="21" t="str">
        <f t="shared" si="6"/>
        <v/>
      </c>
      <c r="M86" s="5" t="str">
        <f t="shared" ca="1" si="7"/>
        <v/>
      </c>
      <c r="N86" s="21" t="str">
        <f t="shared" ca="1" si="8"/>
        <v/>
      </c>
      <c r="O86" s="2" t="str">
        <f t="shared" si="9"/>
        <v/>
      </c>
      <c r="P86" s="17" t="str">
        <f t="shared" si="10"/>
        <v/>
      </c>
      <c r="Q86" s="20" t="str">
        <f t="shared" si="11"/>
        <v/>
      </c>
      <c r="R86" s="2"/>
      <c r="S86" s="6"/>
      <c r="T86" s="6"/>
      <c r="U86" s="22"/>
      <c r="V86" s="4"/>
      <c r="W86" s="4"/>
      <c r="X86" s="4"/>
    </row>
    <row r="87" spans="1:24">
      <c r="A87" s="2"/>
      <c r="B87" s="2"/>
      <c r="C87" s="2"/>
      <c r="D87" s="3"/>
      <c r="E87" s="3"/>
      <c r="F87" s="3"/>
      <c r="G87" s="2"/>
      <c r="H87" s="2"/>
      <c r="I87" s="4"/>
      <c r="J87" s="4"/>
      <c r="K87" s="4"/>
      <c r="L87" s="21" t="str">
        <f t="shared" si="6"/>
        <v/>
      </c>
      <c r="M87" s="5" t="str">
        <f t="shared" ca="1" si="7"/>
        <v/>
      </c>
      <c r="N87" s="21" t="str">
        <f t="shared" ca="1" si="8"/>
        <v/>
      </c>
      <c r="O87" s="2" t="str">
        <f t="shared" si="9"/>
        <v/>
      </c>
      <c r="P87" s="17" t="str">
        <f t="shared" si="10"/>
        <v/>
      </c>
      <c r="Q87" s="20" t="str">
        <f t="shared" si="11"/>
        <v/>
      </c>
      <c r="R87" s="2"/>
      <c r="S87" s="6"/>
      <c r="T87" s="6"/>
      <c r="U87" s="22"/>
      <c r="V87" s="4"/>
      <c r="W87" s="4"/>
      <c r="X87" s="4"/>
    </row>
    <row r="88" spans="1:24">
      <c r="A88" s="2"/>
      <c r="B88" s="2"/>
      <c r="C88" s="2"/>
      <c r="D88" s="3"/>
      <c r="E88" s="3"/>
      <c r="F88" s="3"/>
      <c r="G88" s="2"/>
      <c r="H88" s="2"/>
      <c r="I88" s="4"/>
      <c r="J88" s="4"/>
      <c r="K88" s="4"/>
      <c r="L88" s="21" t="str">
        <f t="shared" si="6"/>
        <v/>
      </c>
      <c r="M88" s="5" t="str">
        <f t="shared" ca="1" si="7"/>
        <v/>
      </c>
      <c r="N88" s="21" t="str">
        <f t="shared" ca="1" si="8"/>
        <v/>
      </c>
      <c r="O88" s="2" t="str">
        <f t="shared" si="9"/>
        <v/>
      </c>
      <c r="P88" s="17" t="str">
        <f t="shared" si="10"/>
        <v/>
      </c>
      <c r="Q88" s="20" t="str">
        <f t="shared" si="11"/>
        <v/>
      </c>
      <c r="R88" s="2"/>
      <c r="S88" s="6"/>
      <c r="T88" s="6"/>
      <c r="U88" s="22"/>
      <c r="V88" s="4"/>
      <c r="W88" s="4"/>
      <c r="X88" s="4"/>
    </row>
    <row r="89" spans="1:24">
      <c r="A89" s="2"/>
      <c r="B89" s="2"/>
      <c r="C89" s="2"/>
      <c r="D89" s="3"/>
      <c r="E89" s="3"/>
      <c r="F89" s="3"/>
      <c r="G89" s="2"/>
      <c r="H89" s="2"/>
      <c r="I89" s="4"/>
      <c r="J89" s="4"/>
      <c r="K89" s="4"/>
      <c r="L89" s="21" t="str">
        <f t="shared" si="6"/>
        <v/>
      </c>
      <c r="M89" s="5" t="str">
        <f t="shared" ca="1" si="7"/>
        <v/>
      </c>
      <c r="N89" s="21" t="str">
        <f t="shared" ca="1" si="8"/>
        <v/>
      </c>
      <c r="O89" s="2" t="str">
        <f t="shared" si="9"/>
        <v/>
      </c>
      <c r="P89" s="17" t="str">
        <f t="shared" si="10"/>
        <v/>
      </c>
      <c r="Q89" s="20" t="str">
        <f t="shared" si="11"/>
        <v/>
      </c>
      <c r="R89" s="2"/>
      <c r="S89" s="6"/>
      <c r="T89" s="6"/>
      <c r="U89" s="22"/>
      <c r="V89" s="4"/>
      <c r="W89" s="4"/>
      <c r="X89" s="4"/>
    </row>
    <row r="90" spans="1:24">
      <c r="A90" s="2"/>
      <c r="B90" s="2"/>
      <c r="C90" s="2"/>
      <c r="D90" s="3"/>
      <c r="E90" s="3"/>
      <c r="F90" s="3"/>
      <c r="G90" s="2"/>
      <c r="H90" s="2"/>
      <c r="I90" s="4"/>
      <c r="J90" s="4"/>
      <c r="K90" s="4"/>
      <c r="L90" s="21" t="str">
        <f t="shared" si="6"/>
        <v/>
      </c>
      <c r="M90" s="5" t="str">
        <f t="shared" ca="1" si="7"/>
        <v/>
      </c>
      <c r="N90" s="21" t="str">
        <f t="shared" ca="1" si="8"/>
        <v/>
      </c>
      <c r="O90" s="2" t="str">
        <f t="shared" si="9"/>
        <v/>
      </c>
      <c r="P90" s="17" t="str">
        <f t="shared" si="10"/>
        <v/>
      </c>
      <c r="Q90" s="20" t="str">
        <f t="shared" si="11"/>
        <v/>
      </c>
      <c r="R90" s="2"/>
      <c r="S90" s="6"/>
      <c r="T90" s="6"/>
      <c r="U90" s="22"/>
      <c r="V90" s="4"/>
      <c r="W90" s="4"/>
      <c r="X90" s="4"/>
    </row>
    <row r="91" spans="1:24">
      <c r="A91" s="2"/>
      <c r="B91" s="2"/>
      <c r="C91" s="2"/>
      <c r="D91" s="3"/>
      <c r="E91" s="3"/>
      <c r="F91" s="3"/>
      <c r="G91" s="2"/>
      <c r="H91" s="2"/>
      <c r="I91" s="4"/>
      <c r="J91" s="4"/>
      <c r="K91" s="4"/>
      <c r="L91" s="21" t="str">
        <f t="shared" si="6"/>
        <v/>
      </c>
      <c r="M91" s="5" t="str">
        <f t="shared" ca="1" si="7"/>
        <v/>
      </c>
      <c r="N91" s="21" t="str">
        <f t="shared" ca="1" si="8"/>
        <v/>
      </c>
      <c r="O91" s="2" t="str">
        <f t="shared" si="9"/>
        <v/>
      </c>
      <c r="P91" s="17" t="str">
        <f t="shared" si="10"/>
        <v/>
      </c>
      <c r="Q91" s="20" t="str">
        <f t="shared" si="11"/>
        <v/>
      </c>
      <c r="R91" s="2"/>
      <c r="S91" s="6"/>
      <c r="T91" s="6"/>
      <c r="U91" s="22"/>
      <c r="V91" s="4"/>
      <c r="W91" s="4"/>
      <c r="X91" s="4"/>
    </row>
    <row r="92" spans="1:24">
      <c r="A92" s="2"/>
      <c r="B92" s="2"/>
      <c r="C92" s="2"/>
      <c r="D92" s="3"/>
      <c r="E92" s="3"/>
      <c r="F92" s="3"/>
      <c r="G92" s="2"/>
      <c r="H92" s="2"/>
      <c r="I92" s="4"/>
      <c r="J92" s="4"/>
      <c r="K92" s="4"/>
      <c r="L92" s="21" t="str">
        <f t="shared" si="6"/>
        <v/>
      </c>
      <c r="M92" s="5" t="str">
        <f t="shared" ca="1" si="7"/>
        <v/>
      </c>
      <c r="N92" s="21" t="str">
        <f t="shared" ca="1" si="8"/>
        <v/>
      </c>
      <c r="O92" s="2" t="str">
        <f t="shared" si="9"/>
        <v/>
      </c>
      <c r="P92" s="17" t="str">
        <f t="shared" si="10"/>
        <v/>
      </c>
      <c r="Q92" s="20" t="str">
        <f t="shared" si="11"/>
        <v/>
      </c>
      <c r="R92" s="2"/>
      <c r="S92" s="6"/>
      <c r="T92" s="6"/>
      <c r="U92" s="22"/>
      <c r="V92" s="4"/>
      <c r="W92" s="4"/>
      <c r="X92" s="4"/>
    </row>
    <row r="93" spans="1:24">
      <c r="A93" s="2"/>
      <c r="B93" s="2"/>
      <c r="C93" s="2"/>
      <c r="D93" s="3"/>
      <c r="E93" s="3"/>
      <c r="F93" s="3"/>
      <c r="G93" s="2"/>
      <c r="H93" s="2"/>
      <c r="I93" s="4"/>
      <c r="J93" s="4"/>
      <c r="K93" s="4"/>
      <c r="L93" s="21" t="str">
        <f t="shared" si="6"/>
        <v/>
      </c>
      <c r="M93" s="5" t="str">
        <f t="shared" ca="1" si="7"/>
        <v/>
      </c>
      <c r="N93" s="21" t="str">
        <f t="shared" ca="1" si="8"/>
        <v/>
      </c>
      <c r="O93" s="2" t="str">
        <f t="shared" si="9"/>
        <v/>
      </c>
      <c r="P93" s="17" t="str">
        <f t="shared" si="10"/>
        <v/>
      </c>
      <c r="Q93" s="20" t="str">
        <f t="shared" si="11"/>
        <v/>
      </c>
      <c r="R93" s="2"/>
      <c r="S93" s="6"/>
      <c r="T93" s="6"/>
      <c r="U93" s="22"/>
      <c r="V93" s="4"/>
      <c r="W93" s="4"/>
      <c r="X93" s="4"/>
    </row>
    <row r="94" spans="1:24">
      <c r="A94" s="2"/>
      <c r="B94" s="2"/>
      <c r="C94" s="2"/>
      <c r="D94" s="3"/>
      <c r="E94" s="3"/>
      <c r="F94" s="3"/>
      <c r="G94" s="2"/>
      <c r="H94" s="2"/>
      <c r="I94" s="4"/>
      <c r="J94" s="4"/>
      <c r="K94" s="4"/>
      <c r="L94" s="21" t="str">
        <f t="shared" si="6"/>
        <v/>
      </c>
      <c r="M94" s="5" t="str">
        <f t="shared" ca="1" si="7"/>
        <v/>
      </c>
      <c r="N94" s="21" t="str">
        <f t="shared" ca="1" si="8"/>
        <v/>
      </c>
      <c r="O94" s="2" t="str">
        <f t="shared" si="9"/>
        <v/>
      </c>
      <c r="P94" s="17" t="str">
        <f t="shared" si="10"/>
        <v/>
      </c>
      <c r="Q94" s="20" t="str">
        <f t="shared" si="11"/>
        <v/>
      </c>
      <c r="R94" s="2"/>
      <c r="S94" s="6"/>
      <c r="T94" s="6"/>
      <c r="U94" s="22"/>
      <c r="V94" s="4"/>
      <c r="W94" s="4"/>
      <c r="X94" s="4"/>
    </row>
    <row r="95" spans="1:24">
      <c r="A95" s="2"/>
      <c r="B95" s="2"/>
      <c r="C95" s="2"/>
      <c r="D95" s="3"/>
      <c r="E95" s="3"/>
      <c r="F95" s="3"/>
      <c r="G95" s="2"/>
      <c r="H95" s="2"/>
      <c r="I95" s="4"/>
      <c r="J95" s="4"/>
      <c r="K95" s="4"/>
      <c r="L95" s="21" t="str">
        <f t="shared" si="6"/>
        <v/>
      </c>
      <c r="M95" s="5" t="str">
        <f t="shared" ca="1" si="7"/>
        <v/>
      </c>
      <c r="N95" s="21" t="str">
        <f t="shared" ca="1" si="8"/>
        <v/>
      </c>
      <c r="O95" s="2" t="str">
        <f t="shared" si="9"/>
        <v/>
      </c>
      <c r="P95" s="17" t="str">
        <f t="shared" si="10"/>
        <v/>
      </c>
      <c r="Q95" s="20" t="str">
        <f t="shared" si="11"/>
        <v/>
      </c>
      <c r="R95" s="2"/>
      <c r="S95" s="6"/>
      <c r="T95" s="6"/>
      <c r="U95" s="22"/>
      <c r="V95" s="4"/>
      <c r="W95" s="4"/>
      <c r="X95" s="4"/>
    </row>
    <row r="96" spans="1:24">
      <c r="A96" s="2"/>
      <c r="B96" s="2"/>
      <c r="C96" s="2"/>
      <c r="D96" s="3"/>
      <c r="E96" s="3"/>
      <c r="F96" s="3"/>
      <c r="G96" s="2"/>
      <c r="H96" s="2"/>
      <c r="I96" s="4"/>
      <c r="J96" s="4"/>
      <c r="K96" s="4"/>
      <c r="L96" s="21" t="str">
        <f t="shared" si="6"/>
        <v/>
      </c>
      <c r="M96" s="5" t="str">
        <f t="shared" ca="1" si="7"/>
        <v/>
      </c>
      <c r="N96" s="21" t="str">
        <f t="shared" ca="1" si="8"/>
        <v/>
      </c>
      <c r="O96" s="2" t="str">
        <f t="shared" si="9"/>
        <v/>
      </c>
      <c r="P96" s="17" t="str">
        <f t="shared" si="10"/>
        <v/>
      </c>
      <c r="Q96" s="20" t="str">
        <f t="shared" si="11"/>
        <v/>
      </c>
      <c r="R96" s="2"/>
      <c r="S96" s="6"/>
      <c r="T96" s="6"/>
      <c r="U96" s="22"/>
      <c r="V96" s="4"/>
      <c r="W96" s="4"/>
      <c r="X96" s="4"/>
    </row>
    <row r="97" spans="1:24">
      <c r="A97" s="2"/>
      <c r="B97" s="2"/>
      <c r="C97" s="2"/>
      <c r="D97" s="3"/>
      <c r="E97" s="3"/>
      <c r="F97" s="3"/>
      <c r="G97" s="2"/>
      <c r="H97" s="2"/>
      <c r="I97" s="4"/>
      <c r="J97" s="4"/>
      <c r="K97" s="4"/>
      <c r="L97" s="21" t="str">
        <f t="shared" si="6"/>
        <v/>
      </c>
      <c r="M97" s="5" t="str">
        <f t="shared" ca="1" si="7"/>
        <v/>
      </c>
      <c r="N97" s="21" t="str">
        <f t="shared" ca="1" si="8"/>
        <v/>
      </c>
      <c r="O97" s="2" t="str">
        <f t="shared" si="9"/>
        <v/>
      </c>
      <c r="P97" s="17" t="str">
        <f t="shared" si="10"/>
        <v/>
      </c>
      <c r="Q97" s="20" t="str">
        <f t="shared" si="11"/>
        <v/>
      </c>
      <c r="R97" s="2"/>
      <c r="S97" s="6"/>
      <c r="T97" s="6"/>
      <c r="U97" s="22"/>
      <c r="V97" s="4"/>
      <c r="W97" s="4"/>
      <c r="X97" s="4"/>
    </row>
    <row r="98" spans="1:24">
      <c r="A98" s="2"/>
      <c r="B98" s="2"/>
      <c r="C98" s="2"/>
      <c r="D98" s="3"/>
      <c r="E98" s="3"/>
      <c r="F98" s="3"/>
      <c r="G98" s="2"/>
      <c r="H98" s="2"/>
      <c r="I98" s="4"/>
      <c r="J98" s="4"/>
      <c r="K98" s="4"/>
      <c r="L98" s="21" t="str">
        <f t="shared" si="6"/>
        <v/>
      </c>
      <c r="M98" s="5" t="str">
        <f t="shared" ca="1" si="7"/>
        <v/>
      </c>
      <c r="N98" s="21" t="str">
        <f t="shared" ca="1" si="8"/>
        <v/>
      </c>
      <c r="O98" s="2" t="str">
        <f t="shared" si="9"/>
        <v/>
      </c>
      <c r="P98" s="17" t="str">
        <f t="shared" si="10"/>
        <v/>
      </c>
      <c r="Q98" s="20" t="str">
        <f t="shared" si="11"/>
        <v/>
      </c>
      <c r="R98" s="2"/>
      <c r="S98" s="6"/>
      <c r="T98" s="6"/>
      <c r="U98" s="22"/>
      <c r="V98" s="4"/>
      <c r="W98" s="4"/>
      <c r="X98" s="4"/>
    </row>
    <row r="99" spans="1:24">
      <c r="A99" s="2"/>
      <c r="B99" s="2"/>
      <c r="C99" s="2"/>
      <c r="D99" s="3"/>
      <c r="E99" s="3"/>
      <c r="F99" s="3"/>
      <c r="G99" s="2"/>
      <c r="H99" s="2"/>
      <c r="I99" s="4"/>
      <c r="J99" s="4"/>
      <c r="K99" s="4"/>
      <c r="L99" s="21" t="str">
        <f t="shared" si="6"/>
        <v/>
      </c>
      <c r="M99" s="5" t="str">
        <f t="shared" ca="1" si="7"/>
        <v/>
      </c>
      <c r="N99" s="21" t="str">
        <f t="shared" ca="1" si="8"/>
        <v/>
      </c>
      <c r="O99" s="2" t="str">
        <f t="shared" si="9"/>
        <v/>
      </c>
      <c r="P99" s="17" t="str">
        <f t="shared" si="10"/>
        <v/>
      </c>
      <c r="Q99" s="20" t="str">
        <f t="shared" si="11"/>
        <v/>
      </c>
      <c r="R99" s="2"/>
      <c r="S99" s="6"/>
      <c r="T99" s="6"/>
      <c r="U99" s="22"/>
      <c r="V99" s="4"/>
      <c r="W99" s="4"/>
      <c r="X99" s="4"/>
    </row>
    <row r="100" spans="1:24">
      <c r="A100" s="2"/>
      <c r="B100" s="2"/>
      <c r="C100" s="2"/>
      <c r="D100" s="3"/>
      <c r="E100" s="3"/>
      <c r="F100" s="3"/>
      <c r="G100" s="2"/>
      <c r="H100" s="2"/>
      <c r="I100" s="4"/>
      <c r="J100" s="4"/>
      <c r="K100" s="4"/>
      <c r="L100" s="21" t="str">
        <f t="shared" si="6"/>
        <v/>
      </c>
      <c r="M100" s="5" t="str">
        <f t="shared" ca="1" si="7"/>
        <v/>
      </c>
      <c r="N100" s="21" t="str">
        <f t="shared" ca="1" si="8"/>
        <v/>
      </c>
      <c r="O100" s="2" t="str">
        <f t="shared" si="9"/>
        <v/>
      </c>
      <c r="P100" s="17" t="str">
        <f t="shared" si="10"/>
        <v/>
      </c>
      <c r="Q100" s="20" t="str">
        <f t="shared" si="11"/>
        <v/>
      </c>
      <c r="R100" s="2"/>
      <c r="S100" s="6"/>
      <c r="T100" s="6"/>
      <c r="U100" s="22"/>
      <c r="V100" s="4"/>
      <c r="W100" s="4"/>
      <c r="X100" s="4"/>
    </row>
    <row r="101" spans="1:24">
      <c r="A101" s="2"/>
      <c r="B101" s="2"/>
      <c r="C101" s="2"/>
      <c r="D101" s="3"/>
      <c r="E101" s="3"/>
      <c r="F101" s="3"/>
      <c r="G101" s="2"/>
      <c r="H101" s="2"/>
      <c r="I101" s="4"/>
      <c r="J101" s="4"/>
      <c r="K101" s="4"/>
      <c r="L101" s="21" t="str">
        <f t="shared" si="6"/>
        <v/>
      </c>
      <c r="M101" s="5" t="str">
        <f t="shared" ca="1" si="7"/>
        <v/>
      </c>
      <c r="N101" s="21" t="str">
        <f t="shared" ca="1" si="8"/>
        <v/>
      </c>
      <c r="O101" s="2" t="str">
        <f t="shared" si="9"/>
        <v/>
      </c>
      <c r="P101" s="17" t="str">
        <f t="shared" si="10"/>
        <v/>
      </c>
      <c r="Q101" s="20" t="str">
        <f t="shared" si="11"/>
        <v/>
      </c>
      <c r="R101" s="2"/>
      <c r="S101" s="6"/>
      <c r="T101" s="6"/>
      <c r="U101" s="22"/>
      <c r="V101" s="4"/>
      <c r="W101" s="4"/>
      <c r="X101" s="4"/>
    </row>
    <row r="102" spans="1:24">
      <c r="A102" s="2"/>
      <c r="B102" s="2"/>
      <c r="C102" s="2"/>
      <c r="D102" s="3"/>
      <c r="E102" s="3"/>
      <c r="F102" s="3"/>
      <c r="G102" s="2"/>
      <c r="H102" s="2"/>
      <c r="I102" s="4"/>
      <c r="J102" s="4"/>
      <c r="K102" s="4"/>
      <c r="L102" s="21" t="str">
        <f t="shared" si="6"/>
        <v/>
      </c>
      <c r="M102" s="5" t="str">
        <f t="shared" ca="1" si="7"/>
        <v/>
      </c>
      <c r="N102" s="21" t="str">
        <f t="shared" ca="1" si="8"/>
        <v/>
      </c>
      <c r="O102" s="2" t="str">
        <f t="shared" si="9"/>
        <v/>
      </c>
      <c r="P102" s="17" t="str">
        <f t="shared" si="10"/>
        <v/>
      </c>
      <c r="Q102" s="20" t="str">
        <f t="shared" si="11"/>
        <v/>
      </c>
      <c r="R102" s="2"/>
      <c r="S102" s="6"/>
      <c r="T102" s="6"/>
      <c r="U102" s="22"/>
      <c r="V102" s="4"/>
      <c r="W102" s="4"/>
      <c r="X102" s="4"/>
    </row>
    <row r="103" spans="1:24">
      <c r="A103" s="2"/>
      <c r="B103" s="2"/>
      <c r="C103" s="2"/>
      <c r="D103" s="3"/>
      <c r="E103" s="3"/>
      <c r="F103" s="3"/>
      <c r="G103" s="2"/>
      <c r="H103" s="2"/>
      <c r="I103" s="4"/>
      <c r="J103" s="4"/>
      <c r="K103" s="4"/>
      <c r="L103" s="21" t="str">
        <f t="shared" si="6"/>
        <v/>
      </c>
      <c r="M103" s="5" t="str">
        <f t="shared" ca="1" si="7"/>
        <v/>
      </c>
      <c r="N103" s="21" t="str">
        <f t="shared" ca="1" si="8"/>
        <v/>
      </c>
      <c r="O103" s="2" t="str">
        <f t="shared" si="9"/>
        <v/>
      </c>
      <c r="P103" s="17" t="str">
        <f t="shared" si="10"/>
        <v/>
      </c>
      <c r="Q103" s="20" t="str">
        <f t="shared" si="11"/>
        <v/>
      </c>
      <c r="R103" s="2"/>
      <c r="S103" s="6"/>
      <c r="T103" s="6"/>
      <c r="U103" s="22"/>
      <c r="V103" s="4"/>
      <c r="W103" s="4"/>
      <c r="X103" s="4"/>
    </row>
    <row r="104" spans="1:24">
      <c r="A104" s="2"/>
      <c r="B104" s="2"/>
      <c r="C104" s="2"/>
      <c r="D104" s="3"/>
      <c r="E104" s="3"/>
      <c r="F104" s="3"/>
      <c r="G104" s="2"/>
      <c r="H104" s="2"/>
      <c r="I104" s="4"/>
      <c r="J104" s="4"/>
      <c r="K104" s="4"/>
      <c r="L104" s="21" t="str">
        <f t="shared" si="6"/>
        <v/>
      </c>
      <c r="M104" s="5" t="str">
        <f t="shared" ca="1" si="7"/>
        <v/>
      </c>
      <c r="N104" s="21" t="str">
        <f t="shared" ca="1" si="8"/>
        <v/>
      </c>
      <c r="O104" s="2" t="str">
        <f t="shared" si="9"/>
        <v/>
      </c>
      <c r="P104" s="17" t="str">
        <f t="shared" si="10"/>
        <v/>
      </c>
      <c r="Q104" s="20" t="str">
        <f t="shared" si="11"/>
        <v/>
      </c>
      <c r="R104" s="2"/>
      <c r="S104" s="6"/>
      <c r="T104" s="6"/>
      <c r="U104" s="22"/>
      <c r="V104" s="4"/>
      <c r="W104" s="4"/>
      <c r="X104" s="4"/>
    </row>
    <row r="105" spans="1:24">
      <c r="A105" s="2"/>
      <c r="B105" s="2"/>
      <c r="C105" s="2"/>
      <c r="D105" s="3"/>
      <c r="E105" s="3"/>
      <c r="F105" s="3"/>
      <c r="G105" s="2"/>
      <c r="H105" s="2"/>
      <c r="I105" s="4"/>
      <c r="J105" s="4"/>
      <c r="K105" s="4"/>
      <c r="L105" s="21" t="str">
        <f t="shared" si="6"/>
        <v/>
      </c>
      <c r="M105" s="5" t="str">
        <f t="shared" ca="1" si="7"/>
        <v/>
      </c>
      <c r="N105" s="21" t="str">
        <f t="shared" ca="1" si="8"/>
        <v/>
      </c>
      <c r="O105" s="2" t="str">
        <f t="shared" si="9"/>
        <v/>
      </c>
      <c r="P105" s="17" t="str">
        <f t="shared" si="10"/>
        <v/>
      </c>
      <c r="Q105" s="20" t="str">
        <f t="shared" si="11"/>
        <v/>
      </c>
      <c r="R105" s="2"/>
      <c r="S105" s="6"/>
      <c r="T105" s="6"/>
      <c r="U105" s="22"/>
      <c r="V105" s="4"/>
      <c r="W105" s="4"/>
      <c r="X105" s="4"/>
    </row>
    <row r="106" spans="1:24">
      <c r="A106" s="2"/>
      <c r="B106" s="2"/>
      <c r="C106" s="2"/>
      <c r="D106" s="3"/>
      <c r="E106" s="3"/>
      <c r="F106" s="3"/>
      <c r="G106" s="2"/>
      <c r="H106" s="2"/>
      <c r="I106" s="4"/>
      <c r="J106" s="4"/>
      <c r="K106" s="4"/>
      <c r="L106" s="21" t="str">
        <f t="shared" si="6"/>
        <v/>
      </c>
      <c r="M106" s="5" t="str">
        <f t="shared" ca="1" si="7"/>
        <v/>
      </c>
      <c r="N106" s="21" t="str">
        <f t="shared" ca="1" si="8"/>
        <v/>
      </c>
      <c r="O106" s="2" t="str">
        <f t="shared" si="9"/>
        <v/>
      </c>
      <c r="P106" s="17" t="str">
        <f t="shared" si="10"/>
        <v/>
      </c>
      <c r="Q106" s="20" t="str">
        <f t="shared" si="11"/>
        <v/>
      </c>
      <c r="R106" s="2"/>
      <c r="S106" s="6"/>
      <c r="T106" s="6"/>
      <c r="U106" s="22"/>
      <c r="V106" s="4"/>
      <c r="W106" s="4"/>
      <c r="X106" s="4"/>
    </row>
    <row r="107" spans="1:24">
      <c r="A107" s="2"/>
      <c r="B107" s="2"/>
      <c r="C107" s="2"/>
      <c r="D107" s="3"/>
      <c r="E107" s="3"/>
      <c r="F107" s="3"/>
      <c r="G107" s="2"/>
      <c r="H107" s="2"/>
      <c r="I107" s="4"/>
      <c r="J107" s="4"/>
      <c r="K107" s="4"/>
      <c r="L107" s="21" t="str">
        <f t="shared" si="6"/>
        <v/>
      </c>
      <c r="M107" s="5" t="str">
        <f t="shared" ca="1" si="7"/>
        <v/>
      </c>
      <c r="N107" s="21" t="str">
        <f t="shared" ca="1" si="8"/>
        <v/>
      </c>
      <c r="O107" s="2" t="str">
        <f t="shared" si="9"/>
        <v/>
      </c>
      <c r="P107" s="17" t="str">
        <f t="shared" si="10"/>
        <v/>
      </c>
      <c r="Q107" s="20" t="str">
        <f t="shared" si="11"/>
        <v/>
      </c>
      <c r="R107" s="2"/>
      <c r="S107" s="6"/>
      <c r="T107" s="6"/>
      <c r="U107" s="22"/>
      <c r="V107" s="4"/>
      <c r="W107" s="4"/>
      <c r="X107" s="4"/>
    </row>
    <row r="108" spans="1:24">
      <c r="A108" s="2"/>
      <c r="B108" s="2"/>
      <c r="C108" s="2"/>
      <c r="D108" s="3"/>
      <c r="E108" s="3"/>
      <c r="F108" s="3"/>
      <c r="G108" s="2"/>
      <c r="H108" s="2"/>
      <c r="I108" s="4"/>
      <c r="J108" s="4"/>
      <c r="K108" s="4"/>
      <c r="L108" s="21" t="str">
        <f t="shared" si="6"/>
        <v/>
      </c>
      <c r="M108" s="5" t="str">
        <f t="shared" ca="1" si="7"/>
        <v/>
      </c>
      <c r="N108" s="21" t="str">
        <f t="shared" ca="1" si="8"/>
        <v/>
      </c>
      <c r="O108" s="2" t="str">
        <f t="shared" si="9"/>
        <v/>
      </c>
      <c r="P108" s="17" t="str">
        <f t="shared" si="10"/>
        <v/>
      </c>
      <c r="Q108" s="20" t="str">
        <f t="shared" si="11"/>
        <v/>
      </c>
      <c r="R108" s="2"/>
      <c r="S108" s="6"/>
      <c r="T108" s="6"/>
      <c r="U108" s="22"/>
      <c r="V108" s="4"/>
      <c r="W108" s="4"/>
      <c r="X108" s="4"/>
    </row>
    <row r="109" spans="1:24">
      <c r="A109" s="2"/>
      <c r="B109" s="2"/>
      <c r="C109" s="2"/>
      <c r="D109" s="3"/>
      <c r="E109" s="3"/>
      <c r="F109" s="3"/>
      <c r="G109" s="2"/>
      <c r="H109" s="2"/>
      <c r="I109" s="4"/>
      <c r="J109" s="4"/>
      <c r="K109" s="4"/>
      <c r="L109" s="21" t="str">
        <f t="shared" si="6"/>
        <v/>
      </c>
      <c r="M109" s="5" t="str">
        <f t="shared" ca="1" si="7"/>
        <v/>
      </c>
      <c r="N109" s="21" t="str">
        <f t="shared" ca="1" si="8"/>
        <v/>
      </c>
      <c r="O109" s="2" t="str">
        <f t="shared" si="9"/>
        <v/>
      </c>
      <c r="P109" s="17" t="str">
        <f t="shared" si="10"/>
        <v/>
      </c>
      <c r="Q109" s="20" t="str">
        <f t="shared" si="11"/>
        <v/>
      </c>
      <c r="R109" s="2"/>
      <c r="S109" s="6"/>
      <c r="T109" s="6"/>
      <c r="U109" s="22"/>
      <c r="V109" s="4"/>
      <c r="W109" s="4"/>
      <c r="X109" s="4"/>
    </row>
    <row r="110" spans="1:24">
      <c r="A110" s="2"/>
      <c r="B110" s="2"/>
      <c r="C110" s="2"/>
      <c r="D110" s="3"/>
      <c r="E110" s="3"/>
      <c r="F110" s="3"/>
      <c r="G110" s="2"/>
      <c r="H110" s="2"/>
      <c r="I110" s="4"/>
      <c r="J110" s="4"/>
      <c r="K110" s="4"/>
      <c r="L110" s="21" t="str">
        <f t="shared" si="6"/>
        <v/>
      </c>
      <c r="M110" s="5" t="str">
        <f t="shared" ca="1" si="7"/>
        <v/>
      </c>
      <c r="N110" s="21" t="str">
        <f t="shared" ca="1" si="8"/>
        <v/>
      </c>
      <c r="O110" s="2" t="str">
        <f t="shared" si="9"/>
        <v/>
      </c>
      <c r="P110" s="17" t="str">
        <f t="shared" si="10"/>
        <v/>
      </c>
      <c r="Q110" s="20" t="str">
        <f t="shared" si="11"/>
        <v/>
      </c>
      <c r="R110" s="2"/>
      <c r="S110" s="6"/>
      <c r="T110" s="6"/>
      <c r="U110" s="22"/>
      <c r="V110" s="4"/>
      <c r="W110" s="4"/>
      <c r="X110" s="4"/>
    </row>
    <row r="111" spans="1:24">
      <c r="A111" s="2"/>
      <c r="B111" s="2"/>
      <c r="C111" s="2"/>
      <c r="D111" s="3"/>
      <c r="E111" s="3"/>
      <c r="F111" s="3"/>
      <c r="G111" s="2"/>
      <c r="H111" s="2"/>
      <c r="I111" s="4"/>
      <c r="J111" s="4"/>
      <c r="K111" s="4"/>
      <c r="L111" s="21" t="str">
        <f t="shared" si="6"/>
        <v/>
      </c>
      <c r="M111" s="5" t="str">
        <f t="shared" ca="1" si="7"/>
        <v/>
      </c>
      <c r="N111" s="21" t="str">
        <f t="shared" ca="1" si="8"/>
        <v/>
      </c>
      <c r="O111" s="2" t="str">
        <f t="shared" si="9"/>
        <v/>
      </c>
      <c r="P111" s="17" t="str">
        <f t="shared" si="10"/>
        <v/>
      </c>
      <c r="Q111" s="20" t="str">
        <f t="shared" si="11"/>
        <v/>
      </c>
      <c r="R111" s="2"/>
      <c r="S111" s="6"/>
      <c r="T111" s="6"/>
      <c r="U111" s="22"/>
      <c r="V111" s="4"/>
      <c r="W111" s="4"/>
      <c r="X111" s="4"/>
    </row>
    <row r="112" spans="1:24">
      <c r="A112" s="2"/>
      <c r="B112" s="2"/>
      <c r="C112" s="2"/>
      <c r="D112" s="3"/>
      <c r="E112" s="3"/>
      <c r="F112" s="3"/>
      <c r="G112" s="2"/>
      <c r="H112" s="2"/>
      <c r="I112" s="4"/>
      <c r="J112" s="4"/>
      <c r="K112" s="4"/>
      <c r="L112" s="21" t="str">
        <f t="shared" si="6"/>
        <v/>
      </c>
      <c r="M112" s="5" t="str">
        <f t="shared" ca="1" si="7"/>
        <v/>
      </c>
      <c r="N112" s="21" t="str">
        <f t="shared" ca="1" si="8"/>
        <v/>
      </c>
      <c r="O112" s="2" t="str">
        <f t="shared" si="9"/>
        <v/>
      </c>
      <c r="P112" s="17" t="str">
        <f t="shared" si="10"/>
        <v/>
      </c>
      <c r="Q112" s="20" t="str">
        <f t="shared" si="11"/>
        <v/>
      </c>
      <c r="R112" s="2"/>
      <c r="S112" s="6"/>
      <c r="T112" s="6"/>
      <c r="U112" s="22"/>
      <c r="V112" s="4"/>
      <c r="W112" s="4"/>
      <c r="X112" s="4"/>
    </row>
    <row r="113" spans="1:24">
      <c r="A113" s="2"/>
      <c r="B113" s="2"/>
      <c r="C113" s="2"/>
      <c r="D113" s="3"/>
      <c r="E113" s="3"/>
      <c r="F113" s="3"/>
      <c r="G113" s="2"/>
      <c r="H113" s="2"/>
      <c r="I113" s="4"/>
      <c r="J113" s="4"/>
      <c r="K113" s="4"/>
      <c r="L113" s="21" t="str">
        <f t="shared" si="6"/>
        <v/>
      </c>
      <c r="M113" s="5" t="str">
        <f t="shared" ca="1" si="7"/>
        <v/>
      </c>
      <c r="N113" s="21" t="str">
        <f t="shared" ca="1" si="8"/>
        <v/>
      </c>
      <c r="O113" s="2" t="str">
        <f t="shared" si="9"/>
        <v/>
      </c>
      <c r="P113" s="17" t="str">
        <f t="shared" si="10"/>
        <v/>
      </c>
      <c r="Q113" s="20" t="str">
        <f t="shared" si="11"/>
        <v/>
      </c>
      <c r="R113" s="2"/>
      <c r="S113" s="6"/>
      <c r="T113" s="6"/>
      <c r="U113" s="22"/>
      <c r="V113" s="4"/>
      <c r="W113" s="4"/>
      <c r="X113" s="4"/>
    </row>
    <row r="114" spans="1:24">
      <c r="A114" s="2"/>
      <c r="B114" s="2"/>
      <c r="C114" s="2"/>
      <c r="D114" s="3"/>
      <c r="E114" s="3"/>
      <c r="F114" s="3"/>
      <c r="G114" s="2"/>
      <c r="H114" s="2"/>
      <c r="I114" s="4"/>
      <c r="J114" s="4"/>
      <c r="K114" s="4"/>
      <c r="L114" s="21" t="str">
        <f t="shared" si="6"/>
        <v/>
      </c>
      <c r="M114" s="5" t="str">
        <f t="shared" ca="1" si="7"/>
        <v/>
      </c>
      <c r="N114" s="21" t="str">
        <f t="shared" ca="1" si="8"/>
        <v/>
      </c>
      <c r="O114" s="2" t="str">
        <f t="shared" si="9"/>
        <v/>
      </c>
      <c r="P114" s="17" t="str">
        <f t="shared" si="10"/>
        <v/>
      </c>
      <c r="Q114" s="20" t="str">
        <f t="shared" si="11"/>
        <v/>
      </c>
      <c r="R114" s="2"/>
      <c r="S114" s="6"/>
      <c r="T114" s="6"/>
      <c r="U114" s="22"/>
      <c r="V114" s="4"/>
      <c r="W114" s="4"/>
      <c r="X114" s="4"/>
    </row>
    <row r="115" spans="1:24">
      <c r="A115" s="2"/>
      <c r="B115" s="2"/>
      <c r="C115" s="2"/>
      <c r="D115" s="3"/>
      <c r="E115" s="3"/>
      <c r="F115" s="3"/>
      <c r="G115" s="2"/>
      <c r="H115" s="2"/>
      <c r="I115" s="4"/>
      <c r="J115" s="4"/>
      <c r="K115" s="4"/>
      <c r="L115" s="21" t="str">
        <f t="shared" si="6"/>
        <v/>
      </c>
      <c r="M115" s="5" t="str">
        <f t="shared" ca="1" si="7"/>
        <v/>
      </c>
      <c r="N115" s="21" t="str">
        <f t="shared" ca="1" si="8"/>
        <v/>
      </c>
      <c r="O115" s="2" t="str">
        <f t="shared" si="9"/>
        <v/>
      </c>
      <c r="P115" s="17" t="str">
        <f t="shared" si="10"/>
        <v/>
      </c>
      <c r="Q115" s="20" t="str">
        <f t="shared" si="11"/>
        <v/>
      </c>
      <c r="R115" s="2"/>
      <c r="S115" s="6"/>
      <c r="T115" s="6"/>
      <c r="U115" s="22"/>
      <c r="V115" s="4"/>
      <c r="W115" s="4"/>
      <c r="X115" s="4"/>
    </row>
    <row r="116" spans="1:24">
      <c r="A116" s="2"/>
      <c r="B116" s="2"/>
      <c r="C116" s="2"/>
      <c r="D116" s="3"/>
      <c r="E116" s="3"/>
      <c r="F116" s="3"/>
      <c r="G116" s="2"/>
      <c r="H116" s="2"/>
      <c r="I116" s="4"/>
      <c r="J116" s="4"/>
      <c r="K116" s="4"/>
      <c r="L116" s="21" t="str">
        <f t="shared" si="6"/>
        <v/>
      </c>
      <c r="M116" s="5" t="str">
        <f t="shared" ca="1" si="7"/>
        <v/>
      </c>
      <c r="N116" s="21" t="str">
        <f t="shared" ca="1" si="8"/>
        <v/>
      </c>
      <c r="O116" s="2" t="str">
        <f t="shared" si="9"/>
        <v/>
      </c>
      <c r="P116" s="17" t="str">
        <f t="shared" si="10"/>
        <v/>
      </c>
      <c r="Q116" s="20" t="str">
        <f t="shared" si="11"/>
        <v/>
      </c>
      <c r="R116" s="2"/>
      <c r="S116" s="6"/>
      <c r="T116" s="6"/>
      <c r="U116" s="22"/>
      <c r="V116" s="4"/>
      <c r="W116" s="4"/>
      <c r="X116" s="4"/>
    </row>
    <row r="117" spans="1:24">
      <c r="A117" s="2"/>
      <c r="B117" s="2"/>
      <c r="C117" s="2"/>
      <c r="D117" s="3"/>
      <c r="E117" s="3"/>
      <c r="F117" s="3"/>
      <c r="G117" s="2"/>
      <c r="H117" s="2"/>
      <c r="I117" s="4"/>
      <c r="J117" s="4"/>
      <c r="K117" s="4"/>
      <c r="L117" s="21" t="str">
        <f t="shared" si="6"/>
        <v/>
      </c>
      <c r="M117" s="5" t="str">
        <f t="shared" ca="1" si="7"/>
        <v/>
      </c>
      <c r="N117" s="21" t="str">
        <f t="shared" ca="1" si="8"/>
        <v/>
      </c>
      <c r="O117" s="2" t="str">
        <f t="shared" si="9"/>
        <v/>
      </c>
      <c r="P117" s="17" t="str">
        <f t="shared" si="10"/>
        <v/>
      </c>
      <c r="Q117" s="20" t="str">
        <f t="shared" si="11"/>
        <v/>
      </c>
      <c r="R117" s="2"/>
      <c r="S117" s="6"/>
      <c r="T117" s="6"/>
      <c r="U117" s="22"/>
      <c r="V117" s="4"/>
      <c r="W117" s="4"/>
      <c r="X117" s="4"/>
    </row>
    <row r="118" spans="1:24">
      <c r="A118" s="2"/>
      <c r="B118" s="2"/>
      <c r="C118" s="2"/>
      <c r="D118" s="3"/>
      <c r="E118" s="3"/>
      <c r="F118" s="3"/>
      <c r="G118" s="2"/>
      <c r="H118" s="2"/>
      <c r="I118" s="4"/>
      <c r="J118" s="4"/>
      <c r="K118" s="4"/>
      <c r="L118" s="21" t="str">
        <f t="shared" si="6"/>
        <v/>
      </c>
      <c r="M118" s="5" t="str">
        <f t="shared" ca="1" si="7"/>
        <v/>
      </c>
      <c r="N118" s="21" t="str">
        <f t="shared" ca="1" si="8"/>
        <v/>
      </c>
      <c r="O118" s="2" t="str">
        <f t="shared" si="9"/>
        <v/>
      </c>
      <c r="P118" s="17" t="str">
        <f t="shared" si="10"/>
        <v/>
      </c>
      <c r="Q118" s="20" t="str">
        <f t="shared" si="11"/>
        <v/>
      </c>
      <c r="R118" s="2"/>
      <c r="S118" s="6"/>
      <c r="T118" s="6"/>
      <c r="U118" s="22"/>
      <c r="V118" s="4"/>
      <c r="W118" s="4"/>
      <c r="X118" s="4"/>
    </row>
    <row r="119" spans="1:24">
      <c r="A119" s="2"/>
      <c r="B119" s="2"/>
      <c r="C119" s="2"/>
      <c r="D119" s="3"/>
      <c r="E119" s="3"/>
      <c r="F119" s="3"/>
      <c r="G119" s="2"/>
      <c r="H119" s="2"/>
      <c r="I119" s="4"/>
      <c r="J119" s="4"/>
      <c r="K119" s="4"/>
      <c r="L119" s="21" t="str">
        <f t="shared" si="6"/>
        <v/>
      </c>
      <c r="M119" s="5" t="str">
        <f t="shared" ca="1" si="7"/>
        <v/>
      </c>
      <c r="N119" s="21" t="str">
        <f t="shared" ca="1" si="8"/>
        <v/>
      </c>
      <c r="O119" s="2" t="str">
        <f t="shared" si="9"/>
        <v/>
      </c>
      <c r="P119" s="17" t="str">
        <f t="shared" si="10"/>
        <v/>
      </c>
      <c r="Q119" s="20" t="str">
        <f t="shared" si="11"/>
        <v/>
      </c>
      <c r="R119" s="2"/>
      <c r="S119" s="6"/>
      <c r="T119" s="6"/>
      <c r="U119" s="22"/>
      <c r="V119" s="4"/>
      <c r="W119" s="4"/>
      <c r="X119" s="4"/>
    </row>
    <row r="120" spans="1:24">
      <c r="A120" s="2"/>
      <c r="B120" s="2"/>
      <c r="C120" s="2"/>
      <c r="D120" s="3"/>
      <c r="E120" s="3"/>
      <c r="F120" s="3"/>
      <c r="G120" s="2"/>
      <c r="H120" s="2"/>
      <c r="I120" s="4"/>
      <c r="J120" s="4"/>
      <c r="K120" s="4"/>
      <c r="L120" s="21" t="str">
        <f t="shared" si="6"/>
        <v/>
      </c>
      <c r="M120" s="5" t="str">
        <f t="shared" ca="1" si="7"/>
        <v/>
      </c>
      <c r="N120" s="21" t="str">
        <f t="shared" ca="1" si="8"/>
        <v/>
      </c>
      <c r="O120" s="2" t="str">
        <f t="shared" si="9"/>
        <v/>
      </c>
      <c r="P120" s="17" t="str">
        <f t="shared" si="10"/>
        <v/>
      </c>
      <c r="Q120" s="20" t="str">
        <f t="shared" si="11"/>
        <v/>
      </c>
      <c r="R120" s="2"/>
      <c r="S120" s="6"/>
      <c r="T120" s="6"/>
      <c r="U120" s="22"/>
      <c r="V120" s="4"/>
      <c r="W120" s="4"/>
      <c r="X120" s="4"/>
    </row>
    <row r="121" spans="1:24">
      <c r="A121" s="2"/>
      <c r="B121" s="2"/>
      <c r="C121" s="2"/>
      <c r="D121" s="3"/>
      <c r="E121" s="3"/>
      <c r="F121" s="3"/>
      <c r="G121" s="2"/>
      <c r="H121" s="2"/>
      <c r="I121" s="4"/>
      <c r="J121" s="4"/>
      <c r="K121" s="4"/>
      <c r="L121" s="21" t="str">
        <f t="shared" si="6"/>
        <v/>
      </c>
      <c r="M121" s="5" t="str">
        <f t="shared" ca="1" si="7"/>
        <v/>
      </c>
      <c r="N121" s="21" t="str">
        <f t="shared" ca="1" si="8"/>
        <v/>
      </c>
      <c r="O121" s="2" t="str">
        <f t="shared" si="9"/>
        <v/>
      </c>
      <c r="P121" s="17" t="str">
        <f t="shared" si="10"/>
        <v/>
      </c>
      <c r="Q121" s="20" t="str">
        <f t="shared" si="11"/>
        <v/>
      </c>
      <c r="R121" s="2"/>
      <c r="S121" s="6"/>
      <c r="T121" s="6"/>
      <c r="U121" s="22"/>
      <c r="V121" s="4"/>
      <c r="W121" s="4"/>
      <c r="X121" s="4"/>
    </row>
    <row r="122" spans="1:24">
      <c r="A122" s="2"/>
      <c r="B122" s="2"/>
      <c r="C122" s="2"/>
      <c r="D122" s="3"/>
      <c r="E122" s="3"/>
      <c r="F122" s="3"/>
      <c r="G122" s="2"/>
      <c r="H122" s="2"/>
      <c r="I122" s="4"/>
      <c r="J122" s="4"/>
      <c r="K122" s="4"/>
      <c r="L122" s="21" t="str">
        <f t="shared" si="6"/>
        <v/>
      </c>
      <c r="M122" s="5" t="str">
        <f t="shared" ca="1" si="7"/>
        <v/>
      </c>
      <c r="N122" s="21" t="str">
        <f t="shared" ca="1" si="8"/>
        <v/>
      </c>
      <c r="O122" s="2" t="str">
        <f t="shared" si="9"/>
        <v/>
      </c>
      <c r="P122" s="17" t="str">
        <f t="shared" si="10"/>
        <v/>
      </c>
      <c r="Q122" s="20" t="str">
        <f t="shared" si="11"/>
        <v/>
      </c>
      <c r="R122" s="2"/>
      <c r="S122" s="6"/>
      <c r="T122" s="6"/>
      <c r="U122" s="22"/>
      <c r="V122" s="4"/>
      <c r="W122" s="4"/>
      <c r="X122" s="4"/>
    </row>
    <row r="123" spans="1:24">
      <c r="A123" s="2"/>
      <c r="B123" s="2"/>
      <c r="C123" s="2"/>
      <c r="D123" s="3"/>
      <c r="E123" s="3"/>
      <c r="F123" s="3"/>
      <c r="G123" s="2"/>
      <c r="H123" s="2"/>
      <c r="I123" s="4"/>
      <c r="J123" s="4"/>
      <c r="K123" s="4"/>
      <c r="L123" s="21" t="str">
        <f t="shared" si="6"/>
        <v/>
      </c>
      <c r="M123" s="5" t="str">
        <f t="shared" ca="1" si="7"/>
        <v/>
      </c>
      <c r="N123" s="21" t="str">
        <f t="shared" ca="1" si="8"/>
        <v/>
      </c>
      <c r="O123" s="2" t="str">
        <f t="shared" si="9"/>
        <v/>
      </c>
      <c r="P123" s="17" t="str">
        <f t="shared" si="10"/>
        <v/>
      </c>
      <c r="Q123" s="20" t="str">
        <f t="shared" si="11"/>
        <v/>
      </c>
      <c r="R123" s="2"/>
      <c r="S123" s="6"/>
      <c r="T123" s="6"/>
      <c r="U123" s="22"/>
      <c r="V123" s="4"/>
      <c r="W123" s="4"/>
      <c r="X123" s="4"/>
    </row>
    <row r="124" spans="1:24">
      <c r="A124" s="2"/>
      <c r="B124" s="2"/>
      <c r="C124" s="2"/>
      <c r="D124" s="3"/>
      <c r="E124" s="3"/>
      <c r="F124" s="3"/>
      <c r="G124" s="2"/>
      <c r="H124" s="2"/>
      <c r="I124" s="4"/>
      <c r="J124" s="4"/>
      <c r="K124" s="4"/>
      <c r="L124" s="21" t="str">
        <f t="shared" si="6"/>
        <v/>
      </c>
      <c r="M124" s="5" t="str">
        <f t="shared" ca="1" si="7"/>
        <v/>
      </c>
      <c r="N124" s="21" t="str">
        <f t="shared" ca="1" si="8"/>
        <v/>
      </c>
      <c r="O124" s="2" t="str">
        <f t="shared" si="9"/>
        <v/>
      </c>
      <c r="P124" s="17" t="str">
        <f t="shared" si="10"/>
        <v/>
      </c>
      <c r="Q124" s="20" t="str">
        <f t="shared" si="11"/>
        <v/>
      </c>
      <c r="R124" s="2"/>
      <c r="S124" s="6"/>
      <c r="T124" s="6"/>
      <c r="U124" s="22"/>
      <c r="V124" s="4"/>
      <c r="W124" s="4"/>
      <c r="X124" s="4"/>
    </row>
    <row r="125" spans="1:24">
      <c r="A125" s="2"/>
      <c r="B125" s="2"/>
      <c r="C125" s="2"/>
      <c r="D125" s="3"/>
      <c r="E125" s="3"/>
      <c r="F125" s="3"/>
      <c r="G125" s="2"/>
      <c r="H125" s="2"/>
      <c r="I125" s="4"/>
      <c r="J125" s="4"/>
      <c r="K125" s="4"/>
      <c r="L125" s="21" t="str">
        <f t="shared" si="6"/>
        <v/>
      </c>
      <c r="M125" s="5" t="str">
        <f t="shared" ca="1" si="7"/>
        <v/>
      </c>
      <c r="N125" s="21" t="str">
        <f t="shared" ca="1" si="8"/>
        <v/>
      </c>
      <c r="O125" s="2" t="str">
        <f t="shared" si="9"/>
        <v/>
      </c>
      <c r="P125" s="17" t="str">
        <f t="shared" si="10"/>
        <v/>
      </c>
      <c r="Q125" s="20" t="str">
        <f t="shared" si="11"/>
        <v/>
      </c>
      <c r="R125" s="2"/>
      <c r="S125" s="6"/>
      <c r="T125" s="6"/>
      <c r="U125" s="22"/>
      <c r="V125" s="4"/>
      <c r="W125" s="4"/>
      <c r="X125" s="4"/>
    </row>
    <row r="126" spans="1:24">
      <c r="A126" s="2"/>
      <c r="B126" s="2"/>
      <c r="C126" s="2"/>
      <c r="D126" s="3"/>
      <c r="E126" s="3"/>
      <c r="F126" s="3"/>
      <c r="G126" s="2"/>
      <c r="H126" s="2"/>
      <c r="I126" s="4"/>
      <c r="J126" s="4"/>
      <c r="K126" s="4"/>
      <c r="L126" s="21" t="str">
        <f t="shared" si="6"/>
        <v/>
      </c>
      <c r="M126" s="5" t="str">
        <f t="shared" ca="1" si="7"/>
        <v/>
      </c>
      <c r="N126" s="21" t="str">
        <f t="shared" ca="1" si="8"/>
        <v/>
      </c>
      <c r="O126" s="2" t="str">
        <f t="shared" si="9"/>
        <v/>
      </c>
      <c r="P126" s="17" t="str">
        <f t="shared" si="10"/>
        <v/>
      </c>
      <c r="Q126" s="20" t="str">
        <f t="shared" si="11"/>
        <v/>
      </c>
      <c r="R126" s="2"/>
      <c r="S126" s="6"/>
      <c r="T126" s="6"/>
      <c r="U126" s="22"/>
      <c r="V126" s="4"/>
      <c r="W126" s="4"/>
      <c r="X126" s="4"/>
    </row>
    <row r="127" spans="1:24">
      <c r="A127" s="2"/>
      <c r="B127" s="2"/>
      <c r="C127" s="2"/>
      <c r="D127" s="3"/>
      <c r="E127" s="3"/>
      <c r="F127" s="3"/>
      <c r="G127" s="2"/>
      <c r="H127" s="2"/>
      <c r="I127" s="4"/>
      <c r="J127" s="4"/>
      <c r="K127" s="4"/>
      <c r="L127" s="21" t="str">
        <f t="shared" si="6"/>
        <v/>
      </c>
      <c r="M127" s="5" t="str">
        <f t="shared" ca="1" si="7"/>
        <v/>
      </c>
      <c r="N127" s="21" t="str">
        <f t="shared" ca="1" si="8"/>
        <v/>
      </c>
      <c r="O127" s="2" t="str">
        <f t="shared" si="9"/>
        <v/>
      </c>
      <c r="P127" s="17" t="str">
        <f t="shared" si="10"/>
        <v/>
      </c>
      <c r="Q127" s="20" t="str">
        <f t="shared" si="11"/>
        <v/>
      </c>
      <c r="R127" s="2"/>
      <c r="S127" s="6"/>
      <c r="T127" s="6"/>
      <c r="U127" s="22"/>
      <c r="V127" s="4"/>
      <c r="W127" s="4"/>
      <c r="X127" s="4"/>
    </row>
    <row r="128" spans="1:24">
      <c r="A128" s="2"/>
      <c r="B128" s="2"/>
      <c r="C128" s="2"/>
      <c r="D128" s="3"/>
      <c r="E128" s="3"/>
      <c r="F128" s="3"/>
      <c r="G128" s="2"/>
      <c r="H128" s="2"/>
      <c r="I128" s="4"/>
      <c r="J128" s="4"/>
      <c r="K128" s="4"/>
      <c r="L128" s="21" t="str">
        <f t="shared" si="6"/>
        <v/>
      </c>
      <c r="M128" s="5" t="str">
        <f t="shared" ca="1" si="7"/>
        <v/>
      </c>
      <c r="N128" s="21" t="str">
        <f t="shared" ca="1" si="8"/>
        <v/>
      </c>
      <c r="O128" s="2" t="str">
        <f t="shared" si="9"/>
        <v/>
      </c>
      <c r="P128" s="17" t="str">
        <f t="shared" si="10"/>
        <v/>
      </c>
      <c r="Q128" s="20" t="str">
        <f t="shared" si="11"/>
        <v/>
      </c>
      <c r="R128" s="2"/>
      <c r="S128" s="6"/>
      <c r="T128" s="6"/>
      <c r="U128" s="22"/>
      <c r="V128" s="4"/>
      <c r="W128" s="4"/>
      <c r="X128" s="4"/>
    </row>
    <row r="129" spans="1:24">
      <c r="A129" s="2"/>
      <c r="B129" s="2"/>
      <c r="C129" s="2"/>
      <c r="D129" s="3"/>
      <c r="E129" s="3"/>
      <c r="F129" s="3"/>
      <c r="G129" s="2"/>
      <c r="H129" s="2"/>
      <c r="I129" s="4"/>
      <c r="J129" s="4"/>
      <c r="K129" s="4"/>
      <c r="L129" s="21" t="str">
        <f t="shared" si="6"/>
        <v/>
      </c>
      <c r="M129" s="5" t="str">
        <f t="shared" ca="1" si="7"/>
        <v/>
      </c>
      <c r="N129" s="21" t="str">
        <f t="shared" ca="1" si="8"/>
        <v/>
      </c>
      <c r="O129" s="2" t="str">
        <f t="shared" si="9"/>
        <v/>
      </c>
      <c r="P129" s="17" t="str">
        <f t="shared" si="10"/>
        <v/>
      </c>
      <c r="Q129" s="20" t="str">
        <f t="shared" si="11"/>
        <v/>
      </c>
      <c r="R129" s="2"/>
      <c r="S129" s="6"/>
      <c r="T129" s="6"/>
      <c r="U129" s="22"/>
      <c r="V129" s="4"/>
      <c r="W129" s="4"/>
      <c r="X129" s="4"/>
    </row>
    <row r="130" spans="1:24">
      <c r="A130" s="2"/>
      <c r="B130" s="2"/>
      <c r="C130" s="2"/>
      <c r="D130" s="3"/>
      <c r="E130" s="3"/>
      <c r="F130" s="3"/>
      <c r="G130" s="2"/>
      <c r="H130" s="2"/>
      <c r="I130" s="4"/>
      <c r="J130" s="4"/>
      <c r="K130" s="4"/>
      <c r="L130" s="21" t="str">
        <f t="shared" ref="L130:L193" si="12">IF(A130="","",IF(OR(J130="",K130=""),"",MAX(1,K130-J130+1)))</f>
        <v/>
      </c>
      <c r="M130" s="5" t="str">
        <f t="shared" ref="M130:M193" ca="1" si="13">IF(A130="","",IF(B130="PROCESO",IF(COUNTIF($C$2:$C$301,A130)=0,0,SUMIF($C$2:$C$301,A130,$M$2:$M$301)/COUNTIF($C$2:$C$301,A130)),IF(OR(I130="Terminada",I130="Completada"),1,IF(OR(I130="No iniciada",I130="Cancelada"),0,IF(OR(J130="",K130=""),0,MIN(0.99,MAX(0,(TODAY()-J130+1)/MAX(1,K130-J130+1))))))))</f>
        <v/>
      </c>
      <c r="N130" s="21" t="str">
        <f t="shared" ref="N130:N193" ca="1" si="14">IF(A130="","",IF(K130="","",IF(OR(I130="Terminada",I130="Completada"),0,K130-TODAY())))</f>
        <v/>
      </c>
      <c r="O130" s="2" t="str">
        <f t="shared" ref="O130:O193" si="15">IF(A130="","",IF(B130="PROCESO",IF(COUNTIF($C$2:$C$301,A130)=0,"SIN ETAPAS",IF(M130=1,"TERMINADO",IF(N130&lt;0,"ATRASADO",IF(N130&lt;=3,"URGENTE",IF(N130&lt;=7,"PROXIMO","SIN ALERTA"))))),IF(OR(I130="Terminada",I130="Completada"),"TERMINADA",IF(I130="Bloqueada","BLOQUEADA",IF(N130&lt;0,"ATRASADA",IF(N130&lt;=3,"URGENTE",IF(N130&lt;=7,"PROXIMA","SIN ALERTA")))))))</f>
        <v/>
      </c>
      <c r="P130" s="17" t="str">
        <f t="shared" ref="P130:P193" si="16">IF(A130="","",IF(OR(I130="Terminada",I130="Completada"),"VERDE",IF(I130="Bloqueada","ROJO",IF(N130&lt;0,"ROJO",IF(N130&lt;=3,"ROJO",IF(N130&lt;=7,"AMARILLO","VERDE"))))))</f>
        <v/>
      </c>
      <c r="Q130" s="20" t="str">
        <f t="shared" ref="Q130:Q193" si="17">IF(A130="","",IF(OR(B130&lt;&gt;"ETAPA",C130=""),"",1/COUNTIF($C$2:$C$301,C130)))</f>
        <v/>
      </c>
      <c r="R130" s="2"/>
      <c r="S130" s="6"/>
      <c r="T130" s="6"/>
      <c r="U130" s="22"/>
      <c r="V130" s="4"/>
      <c r="W130" s="4"/>
      <c r="X130" s="4"/>
    </row>
    <row r="131" spans="1:24">
      <c r="A131" s="2"/>
      <c r="B131" s="2"/>
      <c r="C131" s="2"/>
      <c r="D131" s="3"/>
      <c r="E131" s="3"/>
      <c r="F131" s="3"/>
      <c r="G131" s="2"/>
      <c r="H131" s="2"/>
      <c r="I131" s="4"/>
      <c r="J131" s="4"/>
      <c r="K131" s="4"/>
      <c r="L131" s="21" t="str">
        <f t="shared" si="12"/>
        <v/>
      </c>
      <c r="M131" s="5" t="str">
        <f t="shared" ca="1" si="13"/>
        <v/>
      </c>
      <c r="N131" s="21" t="str">
        <f t="shared" ca="1" si="14"/>
        <v/>
      </c>
      <c r="O131" s="2" t="str">
        <f t="shared" si="15"/>
        <v/>
      </c>
      <c r="P131" s="17" t="str">
        <f t="shared" si="16"/>
        <v/>
      </c>
      <c r="Q131" s="20" t="str">
        <f t="shared" si="17"/>
        <v/>
      </c>
      <c r="R131" s="2"/>
      <c r="S131" s="6"/>
      <c r="T131" s="6"/>
      <c r="U131" s="22"/>
      <c r="V131" s="4"/>
      <c r="W131" s="4"/>
      <c r="X131" s="4"/>
    </row>
    <row r="132" spans="1:24">
      <c r="A132" s="2"/>
      <c r="B132" s="2"/>
      <c r="C132" s="2"/>
      <c r="D132" s="3"/>
      <c r="E132" s="3"/>
      <c r="F132" s="3"/>
      <c r="G132" s="2"/>
      <c r="H132" s="2"/>
      <c r="I132" s="4"/>
      <c r="J132" s="4"/>
      <c r="K132" s="4"/>
      <c r="L132" s="21" t="str">
        <f t="shared" si="12"/>
        <v/>
      </c>
      <c r="M132" s="5" t="str">
        <f t="shared" ca="1" si="13"/>
        <v/>
      </c>
      <c r="N132" s="21" t="str">
        <f t="shared" ca="1" si="14"/>
        <v/>
      </c>
      <c r="O132" s="2" t="str">
        <f t="shared" si="15"/>
        <v/>
      </c>
      <c r="P132" s="17" t="str">
        <f t="shared" si="16"/>
        <v/>
      </c>
      <c r="Q132" s="20" t="str">
        <f t="shared" si="17"/>
        <v/>
      </c>
      <c r="R132" s="2"/>
      <c r="S132" s="6"/>
      <c r="T132" s="6"/>
      <c r="U132" s="22"/>
      <c r="V132" s="4"/>
      <c r="W132" s="4"/>
      <c r="X132" s="4"/>
    </row>
    <row r="133" spans="1:24">
      <c r="A133" s="2"/>
      <c r="B133" s="2"/>
      <c r="C133" s="2"/>
      <c r="D133" s="3"/>
      <c r="E133" s="3"/>
      <c r="F133" s="3"/>
      <c r="G133" s="2"/>
      <c r="H133" s="2"/>
      <c r="I133" s="4"/>
      <c r="J133" s="4"/>
      <c r="K133" s="4"/>
      <c r="L133" s="21" t="str">
        <f t="shared" si="12"/>
        <v/>
      </c>
      <c r="M133" s="5" t="str">
        <f t="shared" ca="1" si="13"/>
        <v/>
      </c>
      <c r="N133" s="21" t="str">
        <f t="shared" ca="1" si="14"/>
        <v/>
      </c>
      <c r="O133" s="2" t="str">
        <f t="shared" si="15"/>
        <v/>
      </c>
      <c r="P133" s="17" t="str">
        <f t="shared" si="16"/>
        <v/>
      </c>
      <c r="Q133" s="20" t="str">
        <f t="shared" si="17"/>
        <v/>
      </c>
      <c r="R133" s="2"/>
      <c r="S133" s="6"/>
      <c r="T133" s="6"/>
      <c r="U133" s="22"/>
      <c r="V133" s="4"/>
      <c r="W133" s="4"/>
      <c r="X133" s="4"/>
    </row>
    <row r="134" spans="1:24">
      <c r="A134" s="2"/>
      <c r="B134" s="2"/>
      <c r="C134" s="2"/>
      <c r="D134" s="3"/>
      <c r="E134" s="3"/>
      <c r="F134" s="3"/>
      <c r="G134" s="2"/>
      <c r="H134" s="2"/>
      <c r="I134" s="4"/>
      <c r="J134" s="4"/>
      <c r="K134" s="4"/>
      <c r="L134" s="21" t="str">
        <f t="shared" si="12"/>
        <v/>
      </c>
      <c r="M134" s="5" t="str">
        <f t="shared" ca="1" si="13"/>
        <v/>
      </c>
      <c r="N134" s="21" t="str">
        <f t="shared" ca="1" si="14"/>
        <v/>
      </c>
      <c r="O134" s="2" t="str">
        <f t="shared" si="15"/>
        <v/>
      </c>
      <c r="P134" s="17" t="str">
        <f t="shared" si="16"/>
        <v/>
      </c>
      <c r="Q134" s="20" t="str">
        <f t="shared" si="17"/>
        <v/>
      </c>
      <c r="R134" s="2"/>
      <c r="S134" s="6"/>
      <c r="T134" s="6"/>
      <c r="U134" s="22"/>
      <c r="V134" s="4"/>
      <c r="W134" s="4"/>
      <c r="X134" s="4"/>
    </row>
    <row r="135" spans="1:24">
      <c r="A135" s="2"/>
      <c r="B135" s="2"/>
      <c r="C135" s="2"/>
      <c r="D135" s="3"/>
      <c r="E135" s="3"/>
      <c r="F135" s="3"/>
      <c r="G135" s="2"/>
      <c r="H135" s="2"/>
      <c r="I135" s="4"/>
      <c r="J135" s="4"/>
      <c r="K135" s="4"/>
      <c r="L135" s="21" t="str">
        <f t="shared" si="12"/>
        <v/>
      </c>
      <c r="M135" s="5" t="str">
        <f t="shared" ca="1" si="13"/>
        <v/>
      </c>
      <c r="N135" s="21" t="str">
        <f t="shared" ca="1" si="14"/>
        <v/>
      </c>
      <c r="O135" s="2" t="str">
        <f t="shared" si="15"/>
        <v/>
      </c>
      <c r="P135" s="17" t="str">
        <f t="shared" si="16"/>
        <v/>
      </c>
      <c r="Q135" s="20" t="str">
        <f t="shared" si="17"/>
        <v/>
      </c>
      <c r="R135" s="2"/>
      <c r="S135" s="6"/>
      <c r="T135" s="6"/>
      <c r="U135" s="22"/>
      <c r="V135" s="4"/>
      <c r="W135" s="4"/>
      <c r="X135" s="4"/>
    </row>
    <row r="136" spans="1:24">
      <c r="A136" s="2"/>
      <c r="B136" s="2"/>
      <c r="C136" s="2"/>
      <c r="D136" s="3"/>
      <c r="E136" s="3"/>
      <c r="F136" s="3"/>
      <c r="G136" s="2"/>
      <c r="H136" s="2"/>
      <c r="I136" s="4"/>
      <c r="J136" s="4"/>
      <c r="K136" s="4"/>
      <c r="L136" s="21" t="str">
        <f t="shared" si="12"/>
        <v/>
      </c>
      <c r="M136" s="5" t="str">
        <f t="shared" ca="1" si="13"/>
        <v/>
      </c>
      <c r="N136" s="21" t="str">
        <f t="shared" ca="1" si="14"/>
        <v/>
      </c>
      <c r="O136" s="2" t="str">
        <f t="shared" si="15"/>
        <v/>
      </c>
      <c r="P136" s="17" t="str">
        <f t="shared" si="16"/>
        <v/>
      </c>
      <c r="Q136" s="20" t="str">
        <f t="shared" si="17"/>
        <v/>
      </c>
      <c r="R136" s="2"/>
      <c r="S136" s="6"/>
      <c r="T136" s="6"/>
      <c r="U136" s="22"/>
      <c r="V136" s="4"/>
      <c r="W136" s="4"/>
      <c r="X136" s="4"/>
    </row>
    <row r="137" spans="1:24">
      <c r="A137" s="2"/>
      <c r="B137" s="2"/>
      <c r="C137" s="2"/>
      <c r="D137" s="3"/>
      <c r="E137" s="3"/>
      <c r="F137" s="3"/>
      <c r="G137" s="2"/>
      <c r="H137" s="2"/>
      <c r="I137" s="4"/>
      <c r="J137" s="4"/>
      <c r="K137" s="4"/>
      <c r="L137" s="21" t="str">
        <f t="shared" si="12"/>
        <v/>
      </c>
      <c r="M137" s="5" t="str">
        <f t="shared" ca="1" si="13"/>
        <v/>
      </c>
      <c r="N137" s="21" t="str">
        <f t="shared" ca="1" si="14"/>
        <v/>
      </c>
      <c r="O137" s="2" t="str">
        <f t="shared" si="15"/>
        <v/>
      </c>
      <c r="P137" s="17" t="str">
        <f t="shared" si="16"/>
        <v/>
      </c>
      <c r="Q137" s="20" t="str">
        <f t="shared" si="17"/>
        <v/>
      </c>
      <c r="R137" s="2"/>
      <c r="S137" s="6"/>
      <c r="T137" s="6"/>
      <c r="U137" s="22"/>
      <c r="V137" s="4"/>
      <c r="W137" s="4"/>
      <c r="X137" s="4"/>
    </row>
    <row r="138" spans="1:24">
      <c r="A138" s="2"/>
      <c r="B138" s="2"/>
      <c r="C138" s="2"/>
      <c r="D138" s="3"/>
      <c r="E138" s="3"/>
      <c r="F138" s="3"/>
      <c r="G138" s="2"/>
      <c r="H138" s="2"/>
      <c r="I138" s="4"/>
      <c r="J138" s="4"/>
      <c r="K138" s="4"/>
      <c r="L138" s="21" t="str">
        <f t="shared" si="12"/>
        <v/>
      </c>
      <c r="M138" s="5" t="str">
        <f t="shared" ca="1" si="13"/>
        <v/>
      </c>
      <c r="N138" s="21" t="str">
        <f t="shared" ca="1" si="14"/>
        <v/>
      </c>
      <c r="O138" s="2" t="str">
        <f t="shared" si="15"/>
        <v/>
      </c>
      <c r="P138" s="17" t="str">
        <f t="shared" si="16"/>
        <v/>
      </c>
      <c r="Q138" s="20" t="str">
        <f t="shared" si="17"/>
        <v/>
      </c>
      <c r="R138" s="2"/>
      <c r="S138" s="6"/>
      <c r="T138" s="6"/>
      <c r="U138" s="22"/>
      <c r="V138" s="4"/>
      <c r="W138" s="4"/>
      <c r="X138" s="4"/>
    </row>
    <row r="139" spans="1:24">
      <c r="A139" s="2"/>
      <c r="B139" s="2"/>
      <c r="C139" s="2"/>
      <c r="D139" s="3"/>
      <c r="E139" s="3"/>
      <c r="F139" s="3"/>
      <c r="G139" s="2"/>
      <c r="H139" s="2"/>
      <c r="I139" s="4"/>
      <c r="J139" s="4"/>
      <c r="K139" s="4"/>
      <c r="L139" s="21" t="str">
        <f t="shared" si="12"/>
        <v/>
      </c>
      <c r="M139" s="5" t="str">
        <f t="shared" ca="1" si="13"/>
        <v/>
      </c>
      <c r="N139" s="21" t="str">
        <f t="shared" ca="1" si="14"/>
        <v/>
      </c>
      <c r="O139" s="2" t="str">
        <f t="shared" si="15"/>
        <v/>
      </c>
      <c r="P139" s="17" t="str">
        <f t="shared" si="16"/>
        <v/>
      </c>
      <c r="Q139" s="20" t="str">
        <f t="shared" si="17"/>
        <v/>
      </c>
      <c r="R139" s="2"/>
      <c r="S139" s="6"/>
      <c r="T139" s="6"/>
      <c r="U139" s="22"/>
      <c r="V139" s="4"/>
      <c r="W139" s="4"/>
      <c r="X139" s="4"/>
    </row>
    <row r="140" spans="1:24">
      <c r="A140" s="2"/>
      <c r="B140" s="2"/>
      <c r="C140" s="2"/>
      <c r="D140" s="3"/>
      <c r="E140" s="3"/>
      <c r="F140" s="3"/>
      <c r="G140" s="2"/>
      <c r="H140" s="2"/>
      <c r="I140" s="4"/>
      <c r="J140" s="4"/>
      <c r="K140" s="4"/>
      <c r="L140" s="21" t="str">
        <f t="shared" si="12"/>
        <v/>
      </c>
      <c r="M140" s="5" t="str">
        <f t="shared" ca="1" si="13"/>
        <v/>
      </c>
      <c r="N140" s="21" t="str">
        <f t="shared" ca="1" si="14"/>
        <v/>
      </c>
      <c r="O140" s="2" t="str">
        <f t="shared" si="15"/>
        <v/>
      </c>
      <c r="P140" s="17" t="str">
        <f t="shared" si="16"/>
        <v/>
      </c>
      <c r="Q140" s="20" t="str">
        <f t="shared" si="17"/>
        <v/>
      </c>
      <c r="R140" s="2"/>
      <c r="S140" s="6"/>
      <c r="T140" s="6"/>
      <c r="U140" s="22"/>
      <c r="V140" s="4"/>
      <c r="W140" s="4"/>
      <c r="X140" s="4"/>
    </row>
    <row r="141" spans="1:24">
      <c r="A141" s="2"/>
      <c r="B141" s="2"/>
      <c r="C141" s="2"/>
      <c r="D141" s="3"/>
      <c r="E141" s="3"/>
      <c r="F141" s="3"/>
      <c r="G141" s="2"/>
      <c r="H141" s="2"/>
      <c r="I141" s="4"/>
      <c r="J141" s="4"/>
      <c r="K141" s="4"/>
      <c r="L141" s="21" t="str">
        <f t="shared" si="12"/>
        <v/>
      </c>
      <c r="M141" s="5" t="str">
        <f t="shared" ca="1" si="13"/>
        <v/>
      </c>
      <c r="N141" s="21" t="str">
        <f t="shared" ca="1" si="14"/>
        <v/>
      </c>
      <c r="O141" s="2" t="str">
        <f t="shared" si="15"/>
        <v/>
      </c>
      <c r="P141" s="17" t="str">
        <f t="shared" si="16"/>
        <v/>
      </c>
      <c r="Q141" s="20" t="str">
        <f t="shared" si="17"/>
        <v/>
      </c>
      <c r="R141" s="2"/>
      <c r="S141" s="6"/>
      <c r="T141" s="6"/>
      <c r="U141" s="22"/>
      <c r="V141" s="4"/>
      <c r="W141" s="4"/>
      <c r="X141" s="4"/>
    </row>
    <row r="142" spans="1:24">
      <c r="A142" s="2"/>
      <c r="B142" s="2"/>
      <c r="C142" s="2"/>
      <c r="D142" s="3"/>
      <c r="E142" s="3"/>
      <c r="F142" s="3"/>
      <c r="G142" s="2"/>
      <c r="H142" s="2"/>
      <c r="I142" s="4"/>
      <c r="J142" s="4"/>
      <c r="K142" s="4"/>
      <c r="L142" s="21" t="str">
        <f t="shared" si="12"/>
        <v/>
      </c>
      <c r="M142" s="5" t="str">
        <f t="shared" ca="1" si="13"/>
        <v/>
      </c>
      <c r="N142" s="21" t="str">
        <f t="shared" ca="1" si="14"/>
        <v/>
      </c>
      <c r="O142" s="2" t="str">
        <f t="shared" si="15"/>
        <v/>
      </c>
      <c r="P142" s="17" t="str">
        <f t="shared" si="16"/>
        <v/>
      </c>
      <c r="Q142" s="20" t="str">
        <f t="shared" si="17"/>
        <v/>
      </c>
      <c r="R142" s="2"/>
      <c r="S142" s="6"/>
      <c r="T142" s="6"/>
      <c r="U142" s="22"/>
      <c r="V142" s="4"/>
      <c r="W142" s="4"/>
      <c r="X142" s="4"/>
    </row>
    <row r="143" spans="1:24">
      <c r="A143" s="2"/>
      <c r="B143" s="2"/>
      <c r="C143" s="2"/>
      <c r="D143" s="3"/>
      <c r="E143" s="3"/>
      <c r="F143" s="3"/>
      <c r="G143" s="2"/>
      <c r="H143" s="2"/>
      <c r="I143" s="4"/>
      <c r="J143" s="4"/>
      <c r="K143" s="4"/>
      <c r="L143" s="21" t="str">
        <f t="shared" si="12"/>
        <v/>
      </c>
      <c r="M143" s="5" t="str">
        <f t="shared" ca="1" si="13"/>
        <v/>
      </c>
      <c r="N143" s="21" t="str">
        <f t="shared" ca="1" si="14"/>
        <v/>
      </c>
      <c r="O143" s="2" t="str">
        <f t="shared" si="15"/>
        <v/>
      </c>
      <c r="P143" s="17" t="str">
        <f t="shared" si="16"/>
        <v/>
      </c>
      <c r="Q143" s="20" t="str">
        <f t="shared" si="17"/>
        <v/>
      </c>
      <c r="R143" s="2"/>
      <c r="S143" s="6"/>
      <c r="T143" s="6"/>
      <c r="U143" s="22"/>
      <c r="V143" s="4"/>
      <c r="W143" s="4"/>
      <c r="X143" s="4"/>
    </row>
    <row r="144" spans="1:24">
      <c r="A144" s="2"/>
      <c r="B144" s="2"/>
      <c r="C144" s="2"/>
      <c r="D144" s="3"/>
      <c r="E144" s="3"/>
      <c r="F144" s="3"/>
      <c r="G144" s="2"/>
      <c r="H144" s="2"/>
      <c r="I144" s="4"/>
      <c r="J144" s="4"/>
      <c r="K144" s="4"/>
      <c r="L144" s="21" t="str">
        <f t="shared" si="12"/>
        <v/>
      </c>
      <c r="M144" s="5" t="str">
        <f t="shared" ca="1" si="13"/>
        <v/>
      </c>
      <c r="N144" s="21" t="str">
        <f t="shared" ca="1" si="14"/>
        <v/>
      </c>
      <c r="O144" s="2" t="str">
        <f t="shared" si="15"/>
        <v/>
      </c>
      <c r="P144" s="17" t="str">
        <f t="shared" si="16"/>
        <v/>
      </c>
      <c r="Q144" s="20" t="str">
        <f t="shared" si="17"/>
        <v/>
      </c>
      <c r="R144" s="2"/>
      <c r="S144" s="6"/>
      <c r="T144" s="6"/>
      <c r="U144" s="22"/>
      <c r="V144" s="4"/>
      <c r="W144" s="4"/>
      <c r="X144" s="4"/>
    </row>
    <row r="145" spans="1:24">
      <c r="A145" s="2"/>
      <c r="B145" s="2"/>
      <c r="C145" s="2"/>
      <c r="D145" s="3"/>
      <c r="E145" s="3"/>
      <c r="F145" s="3"/>
      <c r="G145" s="2"/>
      <c r="H145" s="2"/>
      <c r="I145" s="4"/>
      <c r="J145" s="4"/>
      <c r="K145" s="4"/>
      <c r="L145" s="21" t="str">
        <f t="shared" si="12"/>
        <v/>
      </c>
      <c r="M145" s="5" t="str">
        <f t="shared" ca="1" si="13"/>
        <v/>
      </c>
      <c r="N145" s="21" t="str">
        <f t="shared" ca="1" si="14"/>
        <v/>
      </c>
      <c r="O145" s="2" t="str">
        <f t="shared" si="15"/>
        <v/>
      </c>
      <c r="P145" s="17" t="str">
        <f t="shared" si="16"/>
        <v/>
      </c>
      <c r="Q145" s="20" t="str">
        <f t="shared" si="17"/>
        <v/>
      </c>
      <c r="R145" s="2"/>
      <c r="S145" s="6"/>
      <c r="T145" s="6"/>
      <c r="U145" s="22"/>
      <c r="V145" s="4"/>
      <c r="W145" s="4"/>
      <c r="X145" s="4"/>
    </row>
    <row r="146" spans="1:24">
      <c r="A146" s="2"/>
      <c r="B146" s="2"/>
      <c r="C146" s="2"/>
      <c r="D146" s="3"/>
      <c r="E146" s="3"/>
      <c r="F146" s="3"/>
      <c r="G146" s="2"/>
      <c r="H146" s="2"/>
      <c r="I146" s="4"/>
      <c r="J146" s="4"/>
      <c r="K146" s="4"/>
      <c r="L146" s="21" t="str">
        <f t="shared" si="12"/>
        <v/>
      </c>
      <c r="M146" s="5" t="str">
        <f t="shared" ca="1" si="13"/>
        <v/>
      </c>
      <c r="N146" s="21" t="str">
        <f t="shared" ca="1" si="14"/>
        <v/>
      </c>
      <c r="O146" s="2" t="str">
        <f t="shared" si="15"/>
        <v/>
      </c>
      <c r="P146" s="17" t="str">
        <f t="shared" si="16"/>
        <v/>
      </c>
      <c r="Q146" s="20" t="str">
        <f t="shared" si="17"/>
        <v/>
      </c>
      <c r="R146" s="2"/>
      <c r="S146" s="6"/>
      <c r="T146" s="6"/>
      <c r="U146" s="22"/>
      <c r="V146" s="4"/>
      <c r="W146" s="4"/>
      <c r="X146" s="4"/>
    </row>
    <row r="147" spans="1:24">
      <c r="A147" s="2"/>
      <c r="B147" s="2"/>
      <c r="C147" s="2"/>
      <c r="D147" s="3"/>
      <c r="E147" s="3"/>
      <c r="F147" s="3"/>
      <c r="G147" s="2"/>
      <c r="H147" s="2"/>
      <c r="I147" s="4"/>
      <c r="J147" s="4"/>
      <c r="K147" s="4"/>
      <c r="L147" s="21" t="str">
        <f t="shared" si="12"/>
        <v/>
      </c>
      <c r="M147" s="5" t="str">
        <f t="shared" ca="1" si="13"/>
        <v/>
      </c>
      <c r="N147" s="21" t="str">
        <f t="shared" ca="1" si="14"/>
        <v/>
      </c>
      <c r="O147" s="2" t="str">
        <f t="shared" si="15"/>
        <v/>
      </c>
      <c r="P147" s="17" t="str">
        <f t="shared" si="16"/>
        <v/>
      </c>
      <c r="Q147" s="20" t="str">
        <f t="shared" si="17"/>
        <v/>
      </c>
      <c r="R147" s="2"/>
      <c r="S147" s="6"/>
      <c r="T147" s="6"/>
      <c r="U147" s="22"/>
      <c r="V147" s="4"/>
      <c r="W147" s="4"/>
      <c r="X147" s="4"/>
    </row>
    <row r="148" spans="1:24">
      <c r="A148" s="2"/>
      <c r="B148" s="2"/>
      <c r="C148" s="2"/>
      <c r="D148" s="3"/>
      <c r="E148" s="3"/>
      <c r="F148" s="3"/>
      <c r="G148" s="2"/>
      <c r="H148" s="2"/>
      <c r="I148" s="4"/>
      <c r="J148" s="4"/>
      <c r="K148" s="4"/>
      <c r="L148" s="21" t="str">
        <f t="shared" si="12"/>
        <v/>
      </c>
      <c r="M148" s="5" t="str">
        <f t="shared" ca="1" si="13"/>
        <v/>
      </c>
      <c r="N148" s="21" t="str">
        <f t="shared" ca="1" si="14"/>
        <v/>
      </c>
      <c r="O148" s="2" t="str">
        <f t="shared" si="15"/>
        <v/>
      </c>
      <c r="P148" s="17" t="str">
        <f t="shared" si="16"/>
        <v/>
      </c>
      <c r="Q148" s="20" t="str">
        <f t="shared" si="17"/>
        <v/>
      </c>
      <c r="R148" s="2"/>
      <c r="S148" s="6"/>
      <c r="T148" s="6"/>
      <c r="U148" s="22"/>
      <c r="V148" s="4"/>
      <c r="W148" s="4"/>
      <c r="X148" s="4"/>
    </row>
    <row r="149" spans="1:24">
      <c r="A149" s="2"/>
      <c r="B149" s="2"/>
      <c r="C149" s="2"/>
      <c r="D149" s="3"/>
      <c r="E149" s="3"/>
      <c r="F149" s="3"/>
      <c r="G149" s="2"/>
      <c r="H149" s="2"/>
      <c r="I149" s="4"/>
      <c r="J149" s="4"/>
      <c r="K149" s="4"/>
      <c r="L149" s="21" t="str">
        <f t="shared" si="12"/>
        <v/>
      </c>
      <c r="M149" s="5" t="str">
        <f t="shared" ca="1" si="13"/>
        <v/>
      </c>
      <c r="N149" s="21" t="str">
        <f t="shared" ca="1" si="14"/>
        <v/>
      </c>
      <c r="O149" s="2" t="str">
        <f t="shared" si="15"/>
        <v/>
      </c>
      <c r="P149" s="17" t="str">
        <f t="shared" si="16"/>
        <v/>
      </c>
      <c r="Q149" s="20" t="str">
        <f t="shared" si="17"/>
        <v/>
      </c>
      <c r="R149" s="2"/>
      <c r="S149" s="6"/>
      <c r="T149" s="6"/>
      <c r="U149" s="22"/>
      <c r="V149" s="4"/>
      <c r="W149" s="4"/>
      <c r="X149" s="4"/>
    </row>
    <row r="150" spans="1:24">
      <c r="A150" s="2"/>
      <c r="B150" s="2"/>
      <c r="C150" s="2"/>
      <c r="D150" s="3"/>
      <c r="E150" s="3"/>
      <c r="F150" s="3"/>
      <c r="G150" s="2"/>
      <c r="H150" s="2"/>
      <c r="I150" s="4"/>
      <c r="J150" s="4"/>
      <c r="K150" s="4"/>
      <c r="L150" s="21" t="str">
        <f t="shared" si="12"/>
        <v/>
      </c>
      <c r="M150" s="5" t="str">
        <f t="shared" ca="1" si="13"/>
        <v/>
      </c>
      <c r="N150" s="21" t="str">
        <f t="shared" ca="1" si="14"/>
        <v/>
      </c>
      <c r="O150" s="2" t="str">
        <f t="shared" si="15"/>
        <v/>
      </c>
      <c r="P150" s="17" t="str">
        <f t="shared" si="16"/>
        <v/>
      </c>
      <c r="Q150" s="20" t="str">
        <f t="shared" si="17"/>
        <v/>
      </c>
      <c r="R150" s="2"/>
      <c r="S150" s="6"/>
      <c r="T150" s="6"/>
      <c r="U150" s="22"/>
      <c r="V150" s="4"/>
      <c r="W150" s="4"/>
      <c r="X150" s="4"/>
    </row>
    <row r="151" spans="1:24">
      <c r="A151" s="2"/>
      <c r="B151" s="2"/>
      <c r="C151" s="2"/>
      <c r="D151" s="3"/>
      <c r="E151" s="3"/>
      <c r="F151" s="3"/>
      <c r="G151" s="2"/>
      <c r="H151" s="2"/>
      <c r="I151" s="4"/>
      <c r="J151" s="4"/>
      <c r="K151" s="4"/>
      <c r="L151" s="21" t="str">
        <f t="shared" si="12"/>
        <v/>
      </c>
      <c r="M151" s="5" t="str">
        <f t="shared" ca="1" si="13"/>
        <v/>
      </c>
      <c r="N151" s="21" t="str">
        <f t="shared" ca="1" si="14"/>
        <v/>
      </c>
      <c r="O151" s="2" t="str">
        <f t="shared" si="15"/>
        <v/>
      </c>
      <c r="P151" s="17" t="str">
        <f t="shared" si="16"/>
        <v/>
      </c>
      <c r="Q151" s="20" t="str">
        <f t="shared" si="17"/>
        <v/>
      </c>
      <c r="R151" s="2"/>
      <c r="S151" s="6"/>
      <c r="T151" s="6"/>
      <c r="U151" s="22"/>
      <c r="V151" s="4"/>
      <c r="W151" s="4"/>
      <c r="X151" s="4"/>
    </row>
    <row r="152" spans="1:24">
      <c r="A152" s="2"/>
      <c r="B152" s="2"/>
      <c r="C152" s="2"/>
      <c r="D152" s="3"/>
      <c r="E152" s="3"/>
      <c r="F152" s="3"/>
      <c r="G152" s="2"/>
      <c r="H152" s="2"/>
      <c r="I152" s="4"/>
      <c r="J152" s="4"/>
      <c r="K152" s="4"/>
      <c r="L152" s="21" t="str">
        <f t="shared" si="12"/>
        <v/>
      </c>
      <c r="M152" s="5" t="str">
        <f t="shared" ca="1" si="13"/>
        <v/>
      </c>
      <c r="N152" s="21" t="str">
        <f t="shared" ca="1" si="14"/>
        <v/>
      </c>
      <c r="O152" s="2" t="str">
        <f t="shared" si="15"/>
        <v/>
      </c>
      <c r="P152" s="17" t="str">
        <f t="shared" si="16"/>
        <v/>
      </c>
      <c r="Q152" s="20" t="str">
        <f t="shared" si="17"/>
        <v/>
      </c>
      <c r="R152" s="2"/>
      <c r="S152" s="6"/>
      <c r="T152" s="6"/>
      <c r="U152" s="22"/>
      <c r="V152" s="4"/>
      <c r="W152" s="4"/>
      <c r="X152" s="4"/>
    </row>
    <row r="153" spans="1:24">
      <c r="A153" s="2"/>
      <c r="B153" s="2"/>
      <c r="C153" s="2"/>
      <c r="D153" s="3"/>
      <c r="E153" s="3"/>
      <c r="F153" s="3"/>
      <c r="G153" s="2"/>
      <c r="H153" s="2"/>
      <c r="I153" s="4"/>
      <c r="J153" s="4"/>
      <c r="K153" s="4"/>
      <c r="L153" s="21" t="str">
        <f t="shared" si="12"/>
        <v/>
      </c>
      <c r="M153" s="5" t="str">
        <f t="shared" ca="1" si="13"/>
        <v/>
      </c>
      <c r="N153" s="21" t="str">
        <f t="shared" ca="1" si="14"/>
        <v/>
      </c>
      <c r="O153" s="2" t="str">
        <f t="shared" si="15"/>
        <v/>
      </c>
      <c r="P153" s="17" t="str">
        <f t="shared" si="16"/>
        <v/>
      </c>
      <c r="Q153" s="20" t="str">
        <f t="shared" si="17"/>
        <v/>
      </c>
      <c r="R153" s="2"/>
      <c r="S153" s="6"/>
      <c r="T153" s="6"/>
      <c r="U153" s="22"/>
      <c r="V153" s="4"/>
      <c r="W153" s="4"/>
      <c r="X153" s="4"/>
    </row>
    <row r="154" spans="1:24">
      <c r="A154" s="2"/>
      <c r="B154" s="2"/>
      <c r="C154" s="2"/>
      <c r="D154" s="3"/>
      <c r="E154" s="3"/>
      <c r="F154" s="3"/>
      <c r="G154" s="2"/>
      <c r="H154" s="2"/>
      <c r="I154" s="4"/>
      <c r="J154" s="4"/>
      <c r="K154" s="4"/>
      <c r="L154" s="21" t="str">
        <f t="shared" si="12"/>
        <v/>
      </c>
      <c r="M154" s="5" t="str">
        <f t="shared" ca="1" si="13"/>
        <v/>
      </c>
      <c r="N154" s="21" t="str">
        <f t="shared" ca="1" si="14"/>
        <v/>
      </c>
      <c r="O154" s="2" t="str">
        <f t="shared" si="15"/>
        <v/>
      </c>
      <c r="P154" s="17" t="str">
        <f t="shared" si="16"/>
        <v/>
      </c>
      <c r="Q154" s="20" t="str">
        <f t="shared" si="17"/>
        <v/>
      </c>
      <c r="R154" s="2"/>
      <c r="S154" s="6"/>
      <c r="T154" s="6"/>
      <c r="U154" s="22"/>
      <c r="V154" s="4"/>
      <c r="W154" s="4"/>
      <c r="X154" s="4"/>
    </row>
    <row r="155" spans="1:24">
      <c r="A155" s="2"/>
      <c r="B155" s="2"/>
      <c r="C155" s="2"/>
      <c r="D155" s="3"/>
      <c r="E155" s="3"/>
      <c r="F155" s="3"/>
      <c r="G155" s="2"/>
      <c r="H155" s="2"/>
      <c r="I155" s="4"/>
      <c r="J155" s="4"/>
      <c r="K155" s="4"/>
      <c r="L155" s="21" t="str">
        <f t="shared" si="12"/>
        <v/>
      </c>
      <c r="M155" s="5" t="str">
        <f t="shared" ca="1" si="13"/>
        <v/>
      </c>
      <c r="N155" s="21" t="str">
        <f t="shared" ca="1" si="14"/>
        <v/>
      </c>
      <c r="O155" s="2" t="str">
        <f t="shared" si="15"/>
        <v/>
      </c>
      <c r="P155" s="17" t="str">
        <f t="shared" si="16"/>
        <v/>
      </c>
      <c r="Q155" s="20" t="str">
        <f t="shared" si="17"/>
        <v/>
      </c>
      <c r="R155" s="2"/>
      <c r="S155" s="6"/>
      <c r="T155" s="6"/>
      <c r="U155" s="22"/>
      <c r="V155" s="4"/>
      <c r="W155" s="4"/>
      <c r="X155" s="4"/>
    </row>
    <row r="156" spans="1:24">
      <c r="A156" s="2"/>
      <c r="B156" s="2"/>
      <c r="C156" s="2"/>
      <c r="D156" s="3"/>
      <c r="E156" s="3"/>
      <c r="F156" s="3"/>
      <c r="G156" s="2"/>
      <c r="H156" s="2"/>
      <c r="I156" s="4"/>
      <c r="J156" s="4"/>
      <c r="K156" s="4"/>
      <c r="L156" s="21" t="str">
        <f t="shared" si="12"/>
        <v/>
      </c>
      <c r="M156" s="5" t="str">
        <f t="shared" ca="1" si="13"/>
        <v/>
      </c>
      <c r="N156" s="21" t="str">
        <f t="shared" ca="1" si="14"/>
        <v/>
      </c>
      <c r="O156" s="2" t="str">
        <f t="shared" si="15"/>
        <v/>
      </c>
      <c r="P156" s="17" t="str">
        <f t="shared" si="16"/>
        <v/>
      </c>
      <c r="Q156" s="20" t="str">
        <f t="shared" si="17"/>
        <v/>
      </c>
      <c r="R156" s="2"/>
      <c r="S156" s="6"/>
      <c r="T156" s="6"/>
      <c r="U156" s="22"/>
      <c r="V156" s="4"/>
      <c r="W156" s="4"/>
      <c r="X156" s="4"/>
    </row>
    <row r="157" spans="1:24">
      <c r="A157" s="2"/>
      <c r="B157" s="2"/>
      <c r="C157" s="2"/>
      <c r="D157" s="3"/>
      <c r="E157" s="3"/>
      <c r="F157" s="3"/>
      <c r="G157" s="2"/>
      <c r="H157" s="2"/>
      <c r="I157" s="4"/>
      <c r="J157" s="4"/>
      <c r="K157" s="4"/>
      <c r="L157" s="21" t="str">
        <f t="shared" si="12"/>
        <v/>
      </c>
      <c r="M157" s="5" t="str">
        <f t="shared" ca="1" si="13"/>
        <v/>
      </c>
      <c r="N157" s="21" t="str">
        <f t="shared" ca="1" si="14"/>
        <v/>
      </c>
      <c r="O157" s="2" t="str">
        <f t="shared" si="15"/>
        <v/>
      </c>
      <c r="P157" s="17" t="str">
        <f t="shared" si="16"/>
        <v/>
      </c>
      <c r="Q157" s="20" t="str">
        <f t="shared" si="17"/>
        <v/>
      </c>
      <c r="R157" s="2"/>
      <c r="S157" s="6"/>
      <c r="T157" s="6"/>
      <c r="U157" s="22"/>
      <c r="V157" s="4"/>
      <c r="W157" s="4"/>
      <c r="X157" s="4"/>
    </row>
    <row r="158" spans="1:24">
      <c r="A158" s="2"/>
      <c r="B158" s="2"/>
      <c r="C158" s="2"/>
      <c r="D158" s="3"/>
      <c r="E158" s="3"/>
      <c r="F158" s="3"/>
      <c r="G158" s="2"/>
      <c r="H158" s="2"/>
      <c r="I158" s="4"/>
      <c r="J158" s="4"/>
      <c r="K158" s="4"/>
      <c r="L158" s="21" t="str">
        <f t="shared" si="12"/>
        <v/>
      </c>
      <c r="M158" s="5" t="str">
        <f t="shared" ca="1" si="13"/>
        <v/>
      </c>
      <c r="N158" s="21" t="str">
        <f t="shared" ca="1" si="14"/>
        <v/>
      </c>
      <c r="O158" s="2" t="str">
        <f t="shared" si="15"/>
        <v/>
      </c>
      <c r="P158" s="17" t="str">
        <f t="shared" si="16"/>
        <v/>
      </c>
      <c r="Q158" s="20" t="str">
        <f t="shared" si="17"/>
        <v/>
      </c>
      <c r="R158" s="2"/>
      <c r="S158" s="6"/>
      <c r="T158" s="6"/>
      <c r="U158" s="22"/>
      <c r="V158" s="4"/>
      <c r="W158" s="4"/>
      <c r="X158" s="4"/>
    </row>
    <row r="159" spans="1:24">
      <c r="A159" s="2"/>
      <c r="B159" s="2"/>
      <c r="C159" s="2"/>
      <c r="D159" s="3"/>
      <c r="E159" s="3"/>
      <c r="F159" s="3"/>
      <c r="G159" s="2"/>
      <c r="H159" s="2"/>
      <c r="I159" s="4"/>
      <c r="J159" s="4"/>
      <c r="K159" s="4"/>
      <c r="L159" s="21" t="str">
        <f t="shared" si="12"/>
        <v/>
      </c>
      <c r="M159" s="5" t="str">
        <f t="shared" ca="1" si="13"/>
        <v/>
      </c>
      <c r="N159" s="21" t="str">
        <f t="shared" ca="1" si="14"/>
        <v/>
      </c>
      <c r="O159" s="2" t="str">
        <f t="shared" si="15"/>
        <v/>
      </c>
      <c r="P159" s="17" t="str">
        <f t="shared" si="16"/>
        <v/>
      </c>
      <c r="Q159" s="20" t="str">
        <f t="shared" si="17"/>
        <v/>
      </c>
      <c r="R159" s="2"/>
      <c r="S159" s="6"/>
      <c r="T159" s="6"/>
      <c r="U159" s="22"/>
      <c r="V159" s="4"/>
      <c r="W159" s="4"/>
      <c r="X159" s="4"/>
    </row>
    <row r="160" spans="1:24">
      <c r="A160" s="2"/>
      <c r="B160" s="2"/>
      <c r="C160" s="2"/>
      <c r="D160" s="3"/>
      <c r="E160" s="3"/>
      <c r="F160" s="3"/>
      <c r="G160" s="2"/>
      <c r="H160" s="2"/>
      <c r="I160" s="4"/>
      <c r="J160" s="4"/>
      <c r="K160" s="4"/>
      <c r="L160" s="21" t="str">
        <f t="shared" si="12"/>
        <v/>
      </c>
      <c r="M160" s="5" t="str">
        <f t="shared" ca="1" si="13"/>
        <v/>
      </c>
      <c r="N160" s="21" t="str">
        <f t="shared" ca="1" si="14"/>
        <v/>
      </c>
      <c r="O160" s="2" t="str">
        <f t="shared" si="15"/>
        <v/>
      </c>
      <c r="P160" s="17" t="str">
        <f t="shared" si="16"/>
        <v/>
      </c>
      <c r="Q160" s="20" t="str">
        <f t="shared" si="17"/>
        <v/>
      </c>
      <c r="R160" s="2"/>
      <c r="S160" s="6"/>
      <c r="T160" s="6"/>
      <c r="U160" s="22"/>
      <c r="V160" s="4"/>
      <c r="W160" s="4"/>
      <c r="X160" s="4"/>
    </row>
    <row r="161" spans="1:24">
      <c r="A161" s="2"/>
      <c r="B161" s="2"/>
      <c r="C161" s="2"/>
      <c r="D161" s="3"/>
      <c r="E161" s="3"/>
      <c r="F161" s="3"/>
      <c r="G161" s="2"/>
      <c r="H161" s="2"/>
      <c r="I161" s="4"/>
      <c r="J161" s="4"/>
      <c r="K161" s="4"/>
      <c r="L161" s="21" t="str">
        <f t="shared" si="12"/>
        <v/>
      </c>
      <c r="M161" s="5" t="str">
        <f t="shared" ca="1" si="13"/>
        <v/>
      </c>
      <c r="N161" s="21" t="str">
        <f t="shared" ca="1" si="14"/>
        <v/>
      </c>
      <c r="O161" s="2" t="str">
        <f t="shared" si="15"/>
        <v/>
      </c>
      <c r="P161" s="17" t="str">
        <f t="shared" si="16"/>
        <v/>
      </c>
      <c r="Q161" s="20" t="str">
        <f t="shared" si="17"/>
        <v/>
      </c>
      <c r="R161" s="2"/>
      <c r="S161" s="6"/>
      <c r="T161" s="6"/>
      <c r="U161" s="22"/>
      <c r="V161" s="4"/>
      <c r="W161" s="4"/>
      <c r="X161" s="4"/>
    </row>
    <row r="162" spans="1:24">
      <c r="A162" s="2"/>
      <c r="B162" s="2"/>
      <c r="C162" s="2"/>
      <c r="D162" s="3"/>
      <c r="E162" s="3"/>
      <c r="F162" s="3"/>
      <c r="G162" s="2"/>
      <c r="H162" s="2"/>
      <c r="I162" s="4"/>
      <c r="J162" s="4"/>
      <c r="K162" s="4"/>
      <c r="L162" s="21" t="str">
        <f t="shared" si="12"/>
        <v/>
      </c>
      <c r="M162" s="5" t="str">
        <f t="shared" ca="1" si="13"/>
        <v/>
      </c>
      <c r="N162" s="21" t="str">
        <f t="shared" ca="1" si="14"/>
        <v/>
      </c>
      <c r="O162" s="2" t="str">
        <f t="shared" si="15"/>
        <v/>
      </c>
      <c r="P162" s="17" t="str">
        <f t="shared" si="16"/>
        <v/>
      </c>
      <c r="Q162" s="20" t="str">
        <f t="shared" si="17"/>
        <v/>
      </c>
      <c r="R162" s="2"/>
      <c r="S162" s="6"/>
      <c r="T162" s="6"/>
      <c r="U162" s="22"/>
      <c r="V162" s="4"/>
      <c r="W162" s="4"/>
      <c r="X162" s="4"/>
    </row>
    <row r="163" spans="1:24">
      <c r="A163" s="2"/>
      <c r="B163" s="2"/>
      <c r="C163" s="2"/>
      <c r="D163" s="3"/>
      <c r="E163" s="3"/>
      <c r="F163" s="3"/>
      <c r="G163" s="2"/>
      <c r="H163" s="2"/>
      <c r="I163" s="4"/>
      <c r="J163" s="4"/>
      <c r="K163" s="4"/>
      <c r="L163" s="21" t="str">
        <f t="shared" si="12"/>
        <v/>
      </c>
      <c r="M163" s="5" t="str">
        <f t="shared" ca="1" si="13"/>
        <v/>
      </c>
      <c r="N163" s="21" t="str">
        <f t="shared" ca="1" si="14"/>
        <v/>
      </c>
      <c r="O163" s="2" t="str">
        <f t="shared" si="15"/>
        <v/>
      </c>
      <c r="P163" s="17" t="str">
        <f t="shared" si="16"/>
        <v/>
      </c>
      <c r="Q163" s="20" t="str">
        <f t="shared" si="17"/>
        <v/>
      </c>
      <c r="R163" s="2"/>
      <c r="S163" s="6"/>
      <c r="T163" s="6"/>
      <c r="U163" s="22"/>
      <c r="V163" s="4"/>
      <c r="W163" s="4"/>
      <c r="X163" s="4"/>
    </row>
    <row r="164" spans="1:24">
      <c r="A164" s="2"/>
      <c r="B164" s="2"/>
      <c r="C164" s="2"/>
      <c r="D164" s="3"/>
      <c r="E164" s="3"/>
      <c r="F164" s="3"/>
      <c r="G164" s="2"/>
      <c r="H164" s="2"/>
      <c r="I164" s="4"/>
      <c r="J164" s="4"/>
      <c r="K164" s="4"/>
      <c r="L164" s="21" t="str">
        <f t="shared" si="12"/>
        <v/>
      </c>
      <c r="M164" s="5" t="str">
        <f t="shared" ca="1" si="13"/>
        <v/>
      </c>
      <c r="N164" s="21" t="str">
        <f t="shared" ca="1" si="14"/>
        <v/>
      </c>
      <c r="O164" s="2" t="str">
        <f t="shared" si="15"/>
        <v/>
      </c>
      <c r="P164" s="17" t="str">
        <f t="shared" si="16"/>
        <v/>
      </c>
      <c r="Q164" s="20" t="str">
        <f t="shared" si="17"/>
        <v/>
      </c>
      <c r="R164" s="2"/>
      <c r="S164" s="6"/>
      <c r="T164" s="6"/>
      <c r="U164" s="22"/>
      <c r="V164" s="4"/>
      <c r="W164" s="4"/>
      <c r="X164" s="4"/>
    </row>
    <row r="165" spans="1:24">
      <c r="A165" s="2"/>
      <c r="B165" s="2"/>
      <c r="C165" s="2"/>
      <c r="D165" s="3"/>
      <c r="E165" s="3"/>
      <c r="F165" s="3"/>
      <c r="G165" s="2"/>
      <c r="H165" s="2"/>
      <c r="I165" s="4"/>
      <c r="J165" s="4"/>
      <c r="K165" s="4"/>
      <c r="L165" s="21" t="str">
        <f t="shared" si="12"/>
        <v/>
      </c>
      <c r="M165" s="5" t="str">
        <f t="shared" ca="1" si="13"/>
        <v/>
      </c>
      <c r="N165" s="21" t="str">
        <f t="shared" ca="1" si="14"/>
        <v/>
      </c>
      <c r="O165" s="2" t="str">
        <f t="shared" si="15"/>
        <v/>
      </c>
      <c r="P165" s="17" t="str">
        <f t="shared" si="16"/>
        <v/>
      </c>
      <c r="Q165" s="20" t="str">
        <f t="shared" si="17"/>
        <v/>
      </c>
      <c r="R165" s="2"/>
      <c r="S165" s="6"/>
      <c r="T165" s="6"/>
      <c r="U165" s="22"/>
      <c r="V165" s="4"/>
      <c r="W165" s="4"/>
      <c r="X165" s="4"/>
    </row>
    <row r="166" spans="1:24">
      <c r="A166" s="2"/>
      <c r="B166" s="2"/>
      <c r="C166" s="2"/>
      <c r="D166" s="3"/>
      <c r="E166" s="3"/>
      <c r="F166" s="3"/>
      <c r="G166" s="2"/>
      <c r="H166" s="2"/>
      <c r="I166" s="4"/>
      <c r="J166" s="4"/>
      <c r="K166" s="4"/>
      <c r="L166" s="21" t="str">
        <f t="shared" si="12"/>
        <v/>
      </c>
      <c r="M166" s="5" t="str">
        <f t="shared" ca="1" si="13"/>
        <v/>
      </c>
      <c r="N166" s="21" t="str">
        <f t="shared" ca="1" si="14"/>
        <v/>
      </c>
      <c r="O166" s="2" t="str">
        <f t="shared" si="15"/>
        <v/>
      </c>
      <c r="P166" s="17" t="str">
        <f t="shared" si="16"/>
        <v/>
      </c>
      <c r="Q166" s="20" t="str">
        <f t="shared" si="17"/>
        <v/>
      </c>
      <c r="R166" s="2"/>
      <c r="S166" s="6"/>
      <c r="T166" s="6"/>
      <c r="U166" s="22"/>
      <c r="V166" s="4"/>
      <c r="W166" s="4"/>
      <c r="X166" s="4"/>
    </row>
    <row r="167" spans="1:24">
      <c r="A167" s="2"/>
      <c r="B167" s="2"/>
      <c r="C167" s="2"/>
      <c r="D167" s="3"/>
      <c r="E167" s="3"/>
      <c r="F167" s="3"/>
      <c r="G167" s="2"/>
      <c r="H167" s="2"/>
      <c r="I167" s="4"/>
      <c r="J167" s="4"/>
      <c r="K167" s="4"/>
      <c r="L167" s="21" t="str">
        <f t="shared" si="12"/>
        <v/>
      </c>
      <c r="M167" s="5" t="str">
        <f t="shared" ca="1" si="13"/>
        <v/>
      </c>
      <c r="N167" s="21" t="str">
        <f t="shared" ca="1" si="14"/>
        <v/>
      </c>
      <c r="O167" s="2" t="str">
        <f t="shared" si="15"/>
        <v/>
      </c>
      <c r="P167" s="17" t="str">
        <f t="shared" si="16"/>
        <v/>
      </c>
      <c r="Q167" s="20" t="str">
        <f t="shared" si="17"/>
        <v/>
      </c>
      <c r="R167" s="2"/>
      <c r="S167" s="6"/>
      <c r="T167" s="6"/>
      <c r="U167" s="22"/>
      <c r="V167" s="4"/>
      <c r="W167" s="4"/>
      <c r="X167" s="4"/>
    </row>
    <row r="168" spans="1:24">
      <c r="A168" s="2"/>
      <c r="B168" s="2"/>
      <c r="C168" s="2"/>
      <c r="D168" s="3"/>
      <c r="E168" s="3"/>
      <c r="F168" s="3"/>
      <c r="G168" s="2"/>
      <c r="H168" s="2"/>
      <c r="I168" s="4"/>
      <c r="J168" s="4"/>
      <c r="K168" s="4"/>
      <c r="L168" s="21" t="str">
        <f t="shared" si="12"/>
        <v/>
      </c>
      <c r="M168" s="5" t="str">
        <f t="shared" ca="1" si="13"/>
        <v/>
      </c>
      <c r="N168" s="21" t="str">
        <f t="shared" ca="1" si="14"/>
        <v/>
      </c>
      <c r="O168" s="2" t="str">
        <f t="shared" si="15"/>
        <v/>
      </c>
      <c r="P168" s="17" t="str">
        <f t="shared" si="16"/>
        <v/>
      </c>
      <c r="Q168" s="20" t="str">
        <f t="shared" si="17"/>
        <v/>
      </c>
      <c r="R168" s="2"/>
      <c r="S168" s="6"/>
      <c r="T168" s="6"/>
      <c r="U168" s="22"/>
      <c r="V168" s="4"/>
      <c r="W168" s="4"/>
      <c r="X168" s="4"/>
    </row>
    <row r="169" spans="1:24">
      <c r="A169" s="2"/>
      <c r="B169" s="2"/>
      <c r="C169" s="2"/>
      <c r="D169" s="3"/>
      <c r="E169" s="3"/>
      <c r="F169" s="3"/>
      <c r="G169" s="2"/>
      <c r="H169" s="2"/>
      <c r="I169" s="4"/>
      <c r="J169" s="4"/>
      <c r="K169" s="4"/>
      <c r="L169" s="21" t="str">
        <f t="shared" si="12"/>
        <v/>
      </c>
      <c r="M169" s="5" t="str">
        <f t="shared" ca="1" si="13"/>
        <v/>
      </c>
      <c r="N169" s="21" t="str">
        <f t="shared" ca="1" si="14"/>
        <v/>
      </c>
      <c r="O169" s="2" t="str">
        <f t="shared" si="15"/>
        <v/>
      </c>
      <c r="P169" s="17" t="str">
        <f t="shared" si="16"/>
        <v/>
      </c>
      <c r="Q169" s="20" t="str">
        <f t="shared" si="17"/>
        <v/>
      </c>
      <c r="R169" s="2"/>
      <c r="S169" s="6"/>
      <c r="T169" s="6"/>
      <c r="U169" s="22"/>
      <c r="V169" s="4"/>
      <c r="W169" s="4"/>
      <c r="X169" s="4"/>
    </row>
    <row r="170" spans="1:24">
      <c r="A170" s="2"/>
      <c r="B170" s="2"/>
      <c r="C170" s="2"/>
      <c r="D170" s="3"/>
      <c r="E170" s="3"/>
      <c r="F170" s="3"/>
      <c r="G170" s="2"/>
      <c r="H170" s="2"/>
      <c r="I170" s="4"/>
      <c r="J170" s="4"/>
      <c r="K170" s="4"/>
      <c r="L170" s="21" t="str">
        <f t="shared" si="12"/>
        <v/>
      </c>
      <c r="M170" s="5" t="str">
        <f t="shared" ca="1" si="13"/>
        <v/>
      </c>
      <c r="N170" s="21" t="str">
        <f t="shared" ca="1" si="14"/>
        <v/>
      </c>
      <c r="O170" s="2" t="str">
        <f t="shared" si="15"/>
        <v/>
      </c>
      <c r="P170" s="17" t="str">
        <f t="shared" si="16"/>
        <v/>
      </c>
      <c r="Q170" s="20" t="str">
        <f t="shared" si="17"/>
        <v/>
      </c>
      <c r="R170" s="2"/>
      <c r="S170" s="6"/>
      <c r="T170" s="6"/>
      <c r="U170" s="22"/>
      <c r="V170" s="4"/>
      <c r="W170" s="4"/>
      <c r="X170" s="4"/>
    </row>
    <row r="171" spans="1:24">
      <c r="A171" s="2"/>
      <c r="B171" s="2"/>
      <c r="C171" s="2"/>
      <c r="D171" s="3"/>
      <c r="E171" s="3"/>
      <c r="F171" s="3"/>
      <c r="G171" s="2"/>
      <c r="H171" s="2"/>
      <c r="I171" s="4"/>
      <c r="J171" s="4"/>
      <c r="K171" s="4"/>
      <c r="L171" s="21" t="str">
        <f t="shared" si="12"/>
        <v/>
      </c>
      <c r="M171" s="5" t="str">
        <f t="shared" ca="1" si="13"/>
        <v/>
      </c>
      <c r="N171" s="21" t="str">
        <f t="shared" ca="1" si="14"/>
        <v/>
      </c>
      <c r="O171" s="2" t="str">
        <f t="shared" si="15"/>
        <v/>
      </c>
      <c r="P171" s="17" t="str">
        <f t="shared" si="16"/>
        <v/>
      </c>
      <c r="Q171" s="20" t="str">
        <f t="shared" si="17"/>
        <v/>
      </c>
      <c r="R171" s="2"/>
      <c r="S171" s="6"/>
      <c r="T171" s="6"/>
      <c r="U171" s="22"/>
      <c r="V171" s="4"/>
      <c r="W171" s="4"/>
      <c r="X171" s="4"/>
    </row>
    <row r="172" spans="1:24">
      <c r="A172" s="2"/>
      <c r="B172" s="2"/>
      <c r="C172" s="2"/>
      <c r="D172" s="3"/>
      <c r="E172" s="3"/>
      <c r="F172" s="3"/>
      <c r="G172" s="2"/>
      <c r="H172" s="2"/>
      <c r="I172" s="4"/>
      <c r="J172" s="4"/>
      <c r="K172" s="4"/>
      <c r="L172" s="21" t="str">
        <f t="shared" si="12"/>
        <v/>
      </c>
      <c r="M172" s="5" t="str">
        <f t="shared" ca="1" si="13"/>
        <v/>
      </c>
      <c r="N172" s="21" t="str">
        <f t="shared" ca="1" si="14"/>
        <v/>
      </c>
      <c r="O172" s="2" t="str">
        <f t="shared" si="15"/>
        <v/>
      </c>
      <c r="P172" s="17" t="str">
        <f t="shared" si="16"/>
        <v/>
      </c>
      <c r="Q172" s="20" t="str">
        <f t="shared" si="17"/>
        <v/>
      </c>
      <c r="R172" s="2"/>
      <c r="S172" s="6"/>
      <c r="T172" s="6"/>
      <c r="U172" s="22"/>
      <c r="V172" s="4"/>
      <c r="W172" s="4"/>
      <c r="X172" s="4"/>
    </row>
    <row r="173" spans="1:24">
      <c r="A173" s="2"/>
      <c r="B173" s="2"/>
      <c r="C173" s="2"/>
      <c r="D173" s="3"/>
      <c r="E173" s="3"/>
      <c r="F173" s="3"/>
      <c r="G173" s="2"/>
      <c r="H173" s="2"/>
      <c r="I173" s="4"/>
      <c r="J173" s="4"/>
      <c r="K173" s="4"/>
      <c r="L173" s="21" t="str">
        <f t="shared" si="12"/>
        <v/>
      </c>
      <c r="M173" s="5" t="str">
        <f t="shared" ca="1" si="13"/>
        <v/>
      </c>
      <c r="N173" s="21" t="str">
        <f t="shared" ca="1" si="14"/>
        <v/>
      </c>
      <c r="O173" s="2" t="str">
        <f t="shared" si="15"/>
        <v/>
      </c>
      <c r="P173" s="17" t="str">
        <f t="shared" si="16"/>
        <v/>
      </c>
      <c r="Q173" s="20" t="str">
        <f t="shared" si="17"/>
        <v/>
      </c>
      <c r="R173" s="2"/>
      <c r="S173" s="6"/>
      <c r="T173" s="6"/>
      <c r="U173" s="22"/>
      <c r="V173" s="4"/>
      <c r="W173" s="4"/>
      <c r="X173" s="4"/>
    </row>
    <row r="174" spans="1:24">
      <c r="A174" s="2"/>
      <c r="B174" s="2"/>
      <c r="C174" s="2"/>
      <c r="D174" s="3"/>
      <c r="E174" s="3"/>
      <c r="F174" s="3"/>
      <c r="G174" s="2"/>
      <c r="H174" s="2"/>
      <c r="I174" s="4"/>
      <c r="J174" s="4"/>
      <c r="K174" s="4"/>
      <c r="L174" s="21" t="str">
        <f t="shared" si="12"/>
        <v/>
      </c>
      <c r="M174" s="5" t="str">
        <f t="shared" ca="1" si="13"/>
        <v/>
      </c>
      <c r="N174" s="21" t="str">
        <f t="shared" ca="1" si="14"/>
        <v/>
      </c>
      <c r="O174" s="2" t="str">
        <f t="shared" si="15"/>
        <v/>
      </c>
      <c r="P174" s="17" t="str">
        <f t="shared" si="16"/>
        <v/>
      </c>
      <c r="Q174" s="20" t="str">
        <f t="shared" si="17"/>
        <v/>
      </c>
      <c r="R174" s="2"/>
      <c r="S174" s="6"/>
      <c r="T174" s="6"/>
      <c r="U174" s="22"/>
      <c r="V174" s="4"/>
      <c r="W174" s="4"/>
      <c r="X174" s="4"/>
    </row>
    <row r="175" spans="1:24">
      <c r="A175" s="2"/>
      <c r="B175" s="2"/>
      <c r="C175" s="2"/>
      <c r="D175" s="3"/>
      <c r="E175" s="3"/>
      <c r="F175" s="3"/>
      <c r="G175" s="2"/>
      <c r="H175" s="2"/>
      <c r="I175" s="4"/>
      <c r="J175" s="4"/>
      <c r="K175" s="4"/>
      <c r="L175" s="21" t="str">
        <f t="shared" si="12"/>
        <v/>
      </c>
      <c r="M175" s="5" t="str">
        <f t="shared" ca="1" si="13"/>
        <v/>
      </c>
      <c r="N175" s="21" t="str">
        <f t="shared" ca="1" si="14"/>
        <v/>
      </c>
      <c r="O175" s="2" t="str">
        <f t="shared" si="15"/>
        <v/>
      </c>
      <c r="P175" s="17" t="str">
        <f t="shared" si="16"/>
        <v/>
      </c>
      <c r="Q175" s="20" t="str">
        <f t="shared" si="17"/>
        <v/>
      </c>
      <c r="R175" s="2"/>
      <c r="S175" s="6"/>
      <c r="T175" s="6"/>
      <c r="U175" s="22"/>
      <c r="V175" s="4"/>
      <c r="W175" s="4"/>
      <c r="X175" s="4"/>
    </row>
    <row r="176" spans="1:24">
      <c r="A176" s="2"/>
      <c r="B176" s="2"/>
      <c r="C176" s="2"/>
      <c r="D176" s="3"/>
      <c r="E176" s="3"/>
      <c r="F176" s="3"/>
      <c r="G176" s="2"/>
      <c r="H176" s="2"/>
      <c r="I176" s="4"/>
      <c r="J176" s="4"/>
      <c r="K176" s="4"/>
      <c r="L176" s="21" t="str">
        <f t="shared" si="12"/>
        <v/>
      </c>
      <c r="M176" s="5" t="str">
        <f t="shared" ca="1" si="13"/>
        <v/>
      </c>
      <c r="N176" s="21" t="str">
        <f t="shared" ca="1" si="14"/>
        <v/>
      </c>
      <c r="O176" s="2" t="str">
        <f t="shared" si="15"/>
        <v/>
      </c>
      <c r="P176" s="17" t="str">
        <f t="shared" si="16"/>
        <v/>
      </c>
      <c r="Q176" s="20" t="str">
        <f t="shared" si="17"/>
        <v/>
      </c>
      <c r="R176" s="2"/>
      <c r="S176" s="6"/>
      <c r="T176" s="6"/>
      <c r="U176" s="22"/>
      <c r="V176" s="4"/>
      <c r="W176" s="4"/>
      <c r="X176" s="4"/>
    </row>
    <row r="177" spans="1:24">
      <c r="A177" s="2"/>
      <c r="B177" s="2"/>
      <c r="C177" s="2"/>
      <c r="D177" s="3"/>
      <c r="E177" s="3"/>
      <c r="F177" s="3"/>
      <c r="G177" s="2"/>
      <c r="H177" s="2"/>
      <c r="I177" s="4"/>
      <c r="J177" s="4"/>
      <c r="K177" s="4"/>
      <c r="L177" s="21" t="str">
        <f t="shared" si="12"/>
        <v/>
      </c>
      <c r="M177" s="5" t="str">
        <f t="shared" ca="1" si="13"/>
        <v/>
      </c>
      <c r="N177" s="21" t="str">
        <f t="shared" ca="1" si="14"/>
        <v/>
      </c>
      <c r="O177" s="2" t="str">
        <f t="shared" si="15"/>
        <v/>
      </c>
      <c r="P177" s="17" t="str">
        <f t="shared" si="16"/>
        <v/>
      </c>
      <c r="Q177" s="20" t="str">
        <f t="shared" si="17"/>
        <v/>
      </c>
      <c r="R177" s="2"/>
      <c r="S177" s="6"/>
      <c r="T177" s="6"/>
      <c r="U177" s="22"/>
      <c r="V177" s="4"/>
      <c r="W177" s="4"/>
      <c r="X177" s="4"/>
    </row>
    <row r="178" spans="1:24">
      <c r="A178" s="2"/>
      <c r="B178" s="2"/>
      <c r="C178" s="2"/>
      <c r="D178" s="3"/>
      <c r="E178" s="3"/>
      <c r="F178" s="3"/>
      <c r="G178" s="2"/>
      <c r="H178" s="2"/>
      <c r="I178" s="4"/>
      <c r="J178" s="4"/>
      <c r="K178" s="4"/>
      <c r="L178" s="21" t="str">
        <f t="shared" si="12"/>
        <v/>
      </c>
      <c r="M178" s="5" t="str">
        <f t="shared" ca="1" si="13"/>
        <v/>
      </c>
      <c r="N178" s="21" t="str">
        <f t="shared" ca="1" si="14"/>
        <v/>
      </c>
      <c r="O178" s="2" t="str">
        <f t="shared" si="15"/>
        <v/>
      </c>
      <c r="P178" s="17" t="str">
        <f t="shared" si="16"/>
        <v/>
      </c>
      <c r="Q178" s="20" t="str">
        <f t="shared" si="17"/>
        <v/>
      </c>
      <c r="R178" s="2"/>
      <c r="S178" s="6"/>
      <c r="T178" s="6"/>
      <c r="U178" s="22"/>
      <c r="V178" s="4"/>
      <c r="W178" s="4"/>
      <c r="X178" s="4"/>
    </row>
    <row r="179" spans="1:24">
      <c r="A179" s="2"/>
      <c r="B179" s="2"/>
      <c r="C179" s="2"/>
      <c r="D179" s="3"/>
      <c r="E179" s="3"/>
      <c r="F179" s="3"/>
      <c r="G179" s="2"/>
      <c r="H179" s="2"/>
      <c r="I179" s="4"/>
      <c r="J179" s="4"/>
      <c r="K179" s="4"/>
      <c r="L179" s="21" t="str">
        <f t="shared" si="12"/>
        <v/>
      </c>
      <c r="M179" s="5" t="str">
        <f t="shared" ca="1" si="13"/>
        <v/>
      </c>
      <c r="N179" s="21" t="str">
        <f t="shared" ca="1" si="14"/>
        <v/>
      </c>
      <c r="O179" s="2" t="str">
        <f t="shared" si="15"/>
        <v/>
      </c>
      <c r="P179" s="17" t="str">
        <f t="shared" si="16"/>
        <v/>
      </c>
      <c r="Q179" s="20" t="str">
        <f t="shared" si="17"/>
        <v/>
      </c>
      <c r="R179" s="2"/>
      <c r="S179" s="6"/>
      <c r="T179" s="6"/>
      <c r="U179" s="22"/>
      <c r="V179" s="4"/>
      <c r="W179" s="4"/>
      <c r="X179" s="4"/>
    </row>
    <row r="180" spans="1:24">
      <c r="A180" s="2"/>
      <c r="B180" s="2"/>
      <c r="C180" s="2"/>
      <c r="D180" s="3"/>
      <c r="E180" s="3"/>
      <c r="F180" s="3"/>
      <c r="G180" s="2"/>
      <c r="H180" s="2"/>
      <c r="I180" s="4"/>
      <c r="J180" s="4"/>
      <c r="K180" s="4"/>
      <c r="L180" s="21" t="str">
        <f t="shared" si="12"/>
        <v/>
      </c>
      <c r="M180" s="5" t="str">
        <f t="shared" ca="1" si="13"/>
        <v/>
      </c>
      <c r="N180" s="21" t="str">
        <f t="shared" ca="1" si="14"/>
        <v/>
      </c>
      <c r="O180" s="2" t="str">
        <f t="shared" si="15"/>
        <v/>
      </c>
      <c r="P180" s="17" t="str">
        <f t="shared" si="16"/>
        <v/>
      </c>
      <c r="Q180" s="20" t="str">
        <f t="shared" si="17"/>
        <v/>
      </c>
      <c r="R180" s="2"/>
      <c r="S180" s="6"/>
      <c r="T180" s="6"/>
      <c r="U180" s="22"/>
      <c r="V180" s="4"/>
      <c r="W180" s="4"/>
      <c r="X180" s="4"/>
    </row>
    <row r="181" spans="1:24">
      <c r="A181" s="2"/>
      <c r="B181" s="2"/>
      <c r="C181" s="2"/>
      <c r="D181" s="3"/>
      <c r="E181" s="3"/>
      <c r="F181" s="3"/>
      <c r="G181" s="2"/>
      <c r="H181" s="2"/>
      <c r="I181" s="4"/>
      <c r="J181" s="4"/>
      <c r="K181" s="4"/>
      <c r="L181" s="21" t="str">
        <f t="shared" si="12"/>
        <v/>
      </c>
      <c r="M181" s="5" t="str">
        <f t="shared" ca="1" si="13"/>
        <v/>
      </c>
      <c r="N181" s="21" t="str">
        <f t="shared" ca="1" si="14"/>
        <v/>
      </c>
      <c r="O181" s="2" t="str">
        <f t="shared" si="15"/>
        <v/>
      </c>
      <c r="P181" s="17" t="str">
        <f t="shared" si="16"/>
        <v/>
      </c>
      <c r="Q181" s="20" t="str">
        <f t="shared" si="17"/>
        <v/>
      </c>
      <c r="R181" s="2"/>
      <c r="S181" s="6"/>
      <c r="T181" s="6"/>
      <c r="U181" s="22"/>
      <c r="V181" s="4"/>
      <c r="W181" s="4"/>
      <c r="X181" s="4"/>
    </row>
    <row r="182" spans="1:24">
      <c r="A182" s="2"/>
      <c r="B182" s="2"/>
      <c r="C182" s="2"/>
      <c r="D182" s="3"/>
      <c r="E182" s="3"/>
      <c r="F182" s="3"/>
      <c r="G182" s="2"/>
      <c r="H182" s="2"/>
      <c r="I182" s="4"/>
      <c r="J182" s="4"/>
      <c r="K182" s="4"/>
      <c r="L182" s="21" t="str">
        <f t="shared" si="12"/>
        <v/>
      </c>
      <c r="M182" s="5" t="str">
        <f t="shared" ca="1" si="13"/>
        <v/>
      </c>
      <c r="N182" s="21" t="str">
        <f t="shared" ca="1" si="14"/>
        <v/>
      </c>
      <c r="O182" s="2" t="str">
        <f t="shared" si="15"/>
        <v/>
      </c>
      <c r="P182" s="17" t="str">
        <f t="shared" si="16"/>
        <v/>
      </c>
      <c r="Q182" s="20" t="str">
        <f t="shared" si="17"/>
        <v/>
      </c>
      <c r="R182" s="2"/>
      <c r="S182" s="6"/>
      <c r="T182" s="6"/>
      <c r="U182" s="22"/>
      <c r="V182" s="4"/>
      <c r="W182" s="4"/>
      <c r="X182" s="4"/>
    </row>
    <row r="183" spans="1:24">
      <c r="A183" s="2"/>
      <c r="B183" s="2"/>
      <c r="C183" s="2"/>
      <c r="D183" s="3"/>
      <c r="E183" s="3"/>
      <c r="F183" s="3"/>
      <c r="G183" s="2"/>
      <c r="H183" s="2"/>
      <c r="I183" s="4"/>
      <c r="J183" s="4"/>
      <c r="K183" s="4"/>
      <c r="L183" s="21" t="str">
        <f t="shared" si="12"/>
        <v/>
      </c>
      <c r="M183" s="5" t="str">
        <f t="shared" ca="1" si="13"/>
        <v/>
      </c>
      <c r="N183" s="21" t="str">
        <f t="shared" ca="1" si="14"/>
        <v/>
      </c>
      <c r="O183" s="2" t="str">
        <f t="shared" si="15"/>
        <v/>
      </c>
      <c r="P183" s="17" t="str">
        <f t="shared" si="16"/>
        <v/>
      </c>
      <c r="Q183" s="20" t="str">
        <f t="shared" si="17"/>
        <v/>
      </c>
      <c r="R183" s="2"/>
      <c r="S183" s="6"/>
      <c r="T183" s="6"/>
      <c r="U183" s="22"/>
      <c r="V183" s="4"/>
      <c r="W183" s="4"/>
      <c r="X183" s="4"/>
    </row>
    <row r="184" spans="1:24">
      <c r="A184" s="2"/>
      <c r="B184" s="2"/>
      <c r="C184" s="2"/>
      <c r="D184" s="3"/>
      <c r="E184" s="3"/>
      <c r="F184" s="3"/>
      <c r="G184" s="2"/>
      <c r="H184" s="2"/>
      <c r="I184" s="4"/>
      <c r="J184" s="4"/>
      <c r="K184" s="4"/>
      <c r="L184" s="21" t="str">
        <f t="shared" si="12"/>
        <v/>
      </c>
      <c r="M184" s="5" t="str">
        <f t="shared" ca="1" si="13"/>
        <v/>
      </c>
      <c r="N184" s="21" t="str">
        <f t="shared" ca="1" si="14"/>
        <v/>
      </c>
      <c r="O184" s="2" t="str">
        <f t="shared" si="15"/>
        <v/>
      </c>
      <c r="P184" s="17" t="str">
        <f t="shared" si="16"/>
        <v/>
      </c>
      <c r="Q184" s="20" t="str">
        <f t="shared" si="17"/>
        <v/>
      </c>
      <c r="R184" s="2"/>
      <c r="S184" s="6"/>
      <c r="T184" s="6"/>
      <c r="U184" s="22"/>
      <c r="V184" s="4"/>
      <c r="W184" s="4"/>
      <c r="X184" s="4"/>
    </row>
    <row r="185" spans="1:24">
      <c r="A185" s="2"/>
      <c r="B185" s="2"/>
      <c r="C185" s="2"/>
      <c r="D185" s="3"/>
      <c r="E185" s="3"/>
      <c r="F185" s="3"/>
      <c r="G185" s="2"/>
      <c r="H185" s="2"/>
      <c r="I185" s="4"/>
      <c r="J185" s="4"/>
      <c r="K185" s="4"/>
      <c r="L185" s="21" t="str">
        <f t="shared" si="12"/>
        <v/>
      </c>
      <c r="M185" s="5" t="str">
        <f t="shared" ca="1" si="13"/>
        <v/>
      </c>
      <c r="N185" s="21" t="str">
        <f t="shared" ca="1" si="14"/>
        <v/>
      </c>
      <c r="O185" s="2" t="str">
        <f t="shared" si="15"/>
        <v/>
      </c>
      <c r="P185" s="17" t="str">
        <f t="shared" si="16"/>
        <v/>
      </c>
      <c r="Q185" s="20" t="str">
        <f t="shared" si="17"/>
        <v/>
      </c>
      <c r="R185" s="2"/>
      <c r="S185" s="6"/>
      <c r="T185" s="6"/>
      <c r="U185" s="22"/>
      <c r="V185" s="4"/>
      <c r="W185" s="4"/>
      <c r="X185" s="4"/>
    </row>
    <row r="186" spans="1:24">
      <c r="A186" s="2"/>
      <c r="B186" s="2"/>
      <c r="C186" s="2"/>
      <c r="D186" s="3"/>
      <c r="E186" s="3"/>
      <c r="F186" s="3"/>
      <c r="G186" s="2"/>
      <c r="H186" s="2"/>
      <c r="I186" s="4"/>
      <c r="J186" s="4"/>
      <c r="K186" s="4"/>
      <c r="L186" s="21" t="str">
        <f t="shared" si="12"/>
        <v/>
      </c>
      <c r="M186" s="5" t="str">
        <f t="shared" ca="1" si="13"/>
        <v/>
      </c>
      <c r="N186" s="21" t="str">
        <f t="shared" ca="1" si="14"/>
        <v/>
      </c>
      <c r="O186" s="2" t="str">
        <f t="shared" si="15"/>
        <v/>
      </c>
      <c r="P186" s="17" t="str">
        <f t="shared" si="16"/>
        <v/>
      </c>
      <c r="Q186" s="20" t="str">
        <f t="shared" si="17"/>
        <v/>
      </c>
      <c r="R186" s="2"/>
      <c r="S186" s="6"/>
      <c r="T186" s="6"/>
      <c r="U186" s="22"/>
      <c r="V186" s="4"/>
      <c r="W186" s="4"/>
      <c r="X186" s="4"/>
    </row>
    <row r="187" spans="1:24">
      <c r="A187" s="2"/>
      <c r="B187" s="2"/>
      <c r="C187" s="2"/>
      <c r="D187" s="3"/>
      <c r="E187" s="3"/>
      <c r="F187" s="3"/>
      <c r="G187" s="2"/>
      <c r="H187" s="2"/>
      <c r="I187" s="4"/>
      <c r="J187" s="4"/>
      <c r="K187" s="4"/>
      <c r="L187" s="21" t="str">
        <f t="shared" si="12"/>
        <v/>
      </c>
      <c r="M187" s="5" t="str">
        <f t="shared" ca="1" si="13"/>
        <v/>
      </c>
      <c r="N187" s="21" t="str">
        <f t="shared" ca="1" si="14"/>
        <v/>
      </c>
      <c r="O187" s="2" t="str">
        <f t="shared" si="15"/>
        <v/>
      </c>
      <c r="P187" s="17" t="str">
        <f t="shared" si="16"/>
        <v/>
      </c>
      <c r="Q187" s="20" t="str">
        <f t="shared" si="17"/>
        <v/>
      </c>
      <c r="R187" s="2"/>
      <c r="S187" s="6"/>
      <c r="T187" s="6"/>
      <c r="U187" s="22"/>
      <c r="V187" s="4"/>
      <c r="W187" s="4"/>
      <c r="X187" s="4"/>
    </row>
    <row r="188" spans="1:24">
      <c r="A188" s="2"/>
      <c r="B188" s="2"/>
      <c r="C188" s="2"/>
      <c r="D188" s="3"/>
      <c r="E188" s="3"/>
      <c r="F188" s="3"/>
      <c r="G188" s="2"/>
      <c r="H188" s="2"/>
      <c r="I188" s="4"/>
      <c r="J188" s="4"/>
      <c r="K188" s="4"/>
      <c r="L188" s="21" t="str">
        <f t="shared" si="12"/>
        <v/>
      </c>
      <c r="M188" s="5" t="str">
        <f t="shared" ca="1" si="13"/>
        <v/>
      </c>
      <c r="N188" s="21" t="str">
        <f t="shared" ca="1" si="14"/>
        <v/>
      </c>
      <c r="O188" s="2" t="str">
        <f t="shared" si="15"/>
        <v/>
      </c>
      <c r="P188" s="17" t="str">
        <f t="shared" si="16"/>
        <v/>
      </c>
      <c r="Q188" s="20" t="str">
        <f t="shared" si="17"/>
        <v/>
      </c>
      <c r="R188" s="2"/>
      <c r="S188" s="6"/>
      <c r="T188" s="6"/>
      <c r="U188" s="22"/>
      <c r="V188" s="4"/>
      <c r="W188" s="4"/>
      <c r="X188" s="4"/>
    </row>
    <row r="189" spans="1:24">
      <c r="A189" s="2"/>
      <c r="B189" s="2"/>
      <c r="C189" s="2"/>
      <c r="D189" s="3"/>
      <c r="E189" s="3"/>
      <c r="F189" s="3"/>
      <c r="G189" s="2"/>
      <c r="H189" s="2"/>
      <c r="I189" s="4"/>
      <c r="J189" s="4"/>
      <c r="K189" s="4"/>
      <c r="L189" s="21" t="str">
        <f t="shared" si="12"/>
        <v/>
      </c>
      <c r="M189" s="5" t="str">
        <f t="shared" ca="1" si="13"/>
        <v/>
      </c>
      <c r="N189" s="21" t="str">
        <f t="shared" ca="1" si="14"/>
        <v/>
      </c>
      <c r="O189" s="2" t="str">
        <f t="shared" si="15"/>
        <v/>
      </c>
      <c r="P189" s="17" t="str">
        <f t="shared" si="16"/>
        <v/>
      </c>
      <c r="Q189" s="20" t="str">
        <f t="shared" si="17"/>
        <v/>
      </c>
      <c r="R189" s="2"/>
      <c r="S189" s="6"/>
      <c r="T189" s="6"/>
      <c r="U189" s="22"/>
      <c r="V189" s="4"/>
      <c r="W189" s="4"/>
      <c r="X189" s="4"/>
    </row>
    <row r="190" spans="1:24">
      <c r="A190" s="2"/>
      <c r="B190" s="2"/>
      <c r="C190" s="2"/>
      <c r="D190" s="3"/>
      <c r="E190" s="3"/>
      <c r="F190" s="3"/>
      <c r="G190" s="2"/>
      <c r="H190" s="2"/>
      <c r="I190" s="4"/>
      <c r="J190" s="4"/>
      <c r="K190" s="4"/>
      <c r="L190" s="21" t="str">
        <f t="shared" si="12"/>
        <v/>
      </c>
      <c r="M190" s="5" t="str">
        <f t="shared" ca="1" si="13"/>
        <v/>
      </c>
      <c r="N190" s="21" t="str">
        <f t="shared" ca="1" si="14"/>
        <v/>
      </c>
      <c r="O190" s="2" t="str">
        <f t="shared" si="15"/>
        <v/>
      </c>
      <c r="P190" s="17" t="str">
        <f t="shared" si="16"/>
        <v/>
      </c>
      <c r="Q190" s="20" t="str">
        <f t="shared" si="17"/>
        <v/>
      </c>
      <c r="R190" s="2"/>
      <c r="S190" s="6"/>
      <c r="T190" s="6"/>
      <c r="U190" s="22"/>
      <c r="V190" s="4"/>
      <c r="W190" s="4"/>
      <c r="X190" s="4"/>
    </row>
    <row r="191" spans="1:24">
      <c r="A191" s="2"/>
      <c r="B191" s="2"/>
      <c r="C191" s="2"/>
      <c r="D191" s="3"/>
      <c r="E191" s="3"/>
      <c r="F191" s="3"/>
      <c r="G191" s="2"/>
      <c r="H191" s="2"/>
      <c r="I191" s="4"/>
      <c r="J191" s="4"/>
      <c r="K191" s="4"/>
      <c r="L191" s="21" t="str">
        <f t="shared" si="12"/>
        <v/>
      </c>
      <c r="M191" s="5" t="str">
        <f t="shared" ca="1" si="13"/>
        <v/>
      </c>
      <c r="N191" s="21" t="str">
        <f t="shared" ca="1" si="14"/>
        <v/>
      </c>
      <c r="O191" s="2" t="str">
        <f t="shared" si="15"/>
        <v/>
      </c>
      <c r="P191" s="17" t="str">
        <f t="shared" si="16"/>
        <v/>
      </c>
      <c r="Q191" s="20" t="str">
        <f t="shared" si="17"/>
        <v/>
      </c>
      <c r="R191" s="2"/>
      <c r="S191" s="6"/>
      <c r="T191" s="6"/>
      <c r="U191" s="22"/>
      <c r="V191" s="4"/>
      <c r="W191" s="4"/>
      <c r="X191" s="4"/>
    </row>
    <row r="192" spans="1:24">
      <c r="A192" s="2"/>
      <c r="B192" s="2"/>
      <c r="C192" s="2"/>
      <c r="D192" s="3"/>
      <c r="E192" s="3"/>
      <c r="F192" s="3"/>
      <c r="G192" s="2"/>
      <c r="H192" s="2"/>
      <c r="I192" s="4"/>
      <c r="J192" s="4"/>
      <c r="K192" s="4"/>
      <c r="L192" s="21" t="str">
        <f t="shared" si="12"/>
        <v/>
      </c>
      <c r="M192" s="5" t="str">
        <f t="shared" ca="1" si="13"/>
        <v/>
      </c>
      <c r="N192" s="21" t="str">
        <f t="shared" ca="1" si="14"/>
        <v/>
      </c>
      <c r="O192" s="2" t="str">
        <f t="shared" si="15"/>
        <v/>
      </c>
      <c r="P192" s="17" t="str">
        <f t="shared" si="16"/>
        <v/>
      </c>
      <c r="Q192" s="20" t="str">
        <f t="shared" si="17"/>
        <v/>
      </c>
      <c r="R192" s="2"/>
      <c r="S192" s="6"/>
      <c r="T192" s="6"/>
      <c r="U192" s="22"/>
      <c r="V192" s="4"/>
      <c r="W192" s="4"/>
      <c r="X192" s="4"/>
    </row>
    <row r="193" spans="1:24">
      <c r="A193" s="2"/>
      <c r="B193" s="2"/>
      <c r="C193" s="2"/>
      <c r="D193" s="3"/>
      <c r="E193" s="3"/>
      <c r="F193" s="3"/>
      <c r="G193" s="2"/>
      <c r="H193" s="2"/>
      <c r="I193" s="4"/>
      <c r="J193" s="4"/>
      <c r="K193" s="4"/>
      <c r="L193" s="21" t="str">
        <f t="shared" si="12"/>
        <v/>
      </c>
      <c r="M193" s="5" t="str">
        <f t="shared" ca="1" si="13"/>
        <v/>
      </c>
      <c r="N193" s="21" t="str">
        <f t="shared" ca="1" si="14"/>
        <v/>
      </c>
      <c r="O193" s="2" t="str">
        <f t="shared" si="15"/>
        <v/>
      </c>
      <c r="P193" s="17" t="str">
        <f t="shared" si="16"/>
        <v/>
      </c>
      <c r="Q193" s="20" t="str">
        <f t="shared" si="17"/>
        <v/>
      </c>
      <c r="R193" s="2"/>
      <c r="S193" s="6"/>
      <c r="T193" s="6"/>
      <c r="U193" s="22"/>
      <c r="V193" s="4"/>
      <c r="W193" s="4"/>
      <c r="X193" s="4"/>
    </row>
    <row r="194" spans="1:24">
      <c r="A194" s="2"/>
      <c r="B194" s="2"/>
      <c r="C194" s="2"/>
      <c r="D194" s="3"/>
      <c r="E194" s="3"/>
      <c r="F194" s="3"/>
      <c r="G194" s="2"/>
      <c r="H194" s="2"/>
      <c r="I194" s="4"/>
      <c r="J194" s="4"/>
      <c r="K194" s="4"/>
      <c r="L194" s="21" t="str">
        <f t="shared" ref="L194:L257" si="18">IF(A194="","",IF(OR(J194="",K194=""),"",MAX(1,K194-J194+1)))</f>
        <v/>
      </c>
      <c r="M194" s="5" t="str">
        <f t="shared" ref="M194:M257" ca="1" si="19">IF(A194="","",IF(B194="PROCESO",IF(COUNTIF($C$2:$C$301,A194)=0,0,SUMIF($C$2:$C$301,A194,$M$2:$M$301)/COUNTIF($C$2:$C$301,A194)),IF(OR(I194="Terminada",I194="Completada"),1,IF(OR(I194="No iniciada",I194="Cancelada"),0,IF(OR(J194="",K194=""),0,MIN(0.99,MAX(0,(TODAY()-J194+1)/MAX(1,K194-J194+1))))))))</f>
        <v/>
      </c>
      <c r="N194" s="21" t="str">
        <f t="shared" ref="N194:N257" ca="1" si="20">IF(A194="","",IF(K194="","",IF(OR(I194="Terminada",I194="Completada"),0,K194-TODAY())))</f>
        <v/>
      </c>
      <c r="O194" s="2" t="str">
        <f t="shared" ref="O194:O257" si="21">IF(A194="","",IF(B194="PROCESO",IF(COUNTIF($C$2:$C$301,A194)=0,"SIN ETAPAS",IF(M194=1,"TERMINADO",IF(N194&lt;0,"ATRASADO",IF(N194&lt;=3,"URGENTE",IF(N194&lt;=7,"PROXIMO","SIN ALERTA"))))),IF(OR(I194="Terminada",I194="Completada"),"TERMINADA",IF(I194="Bloqueada","BLOQUEADA",IF(N194&lt;0,"ATRASADA",IF(N194&lt;=3,"URGENTE",IF(N194&lt;=7,"PROXIMA","SIN ALERTA")))))))</f>
        <v/>
      </c>
      <c r="P194" s="17" t="str">
        <f t="shared" ref="P194:P257" si="22">IF(A194="","",IF(OR(I194="Terminada",I194="Completada"),"VERDE",IF(I194="Bloqueada","ROJO",IF(N194&lt;0,"ROJO",IF(N194&lt;=3,"ROJO",IF(N194&lt;=7,"AMARILLO","VERDE"))))))</f>
        <v/>
      </c>
      <c r="Q194" s="20" t="str">
        <f t="shared" ref="Q194:Q257" si="23">IF(A194="","",IF(OR(B194&lt;&gt;"ETAPA",C194=""),"",1/COUNTIF($C$2:$C$301,C194)))</f>
        <v/>
      </c>
      <c r="R194" s="2"/>
      <c r="S194" s="6"/>
      <c r="T194" s="6"/>
      <c r="U194" s="22"/>
      <c r="V194" s="4"/>
      <c r="W194" s="4"/>
      <c r="X194" s="4"/>
    </row>
    <row r="195" spans="1:24">
      <c r="A195" s="2"/>
      <c r="B195" s="2"/>
      <c r="C195" s="2"/>
      <c r="D195" s="3"/>
      <c r="E195" s="3"/>
      <c r="F195" s="3"/>
      <c r="G195" s="2"/>
      <c r="H195" s="2"/>
      <c r="I195" s="4"/>
      <c r="J195" s="4"/>
      <c r="K195" s="4"/>
      <c r="L195" s="21" t="str">
        <f t="shared" si="18"/>
        <v/>
      </c>
      <c r="M195" s="5" t="str">
        <f t="shared" ca="1" si="19"/>
        <v/>
      </c>
      <c r="N195" s="21" t="str">
        <f t="shared" ca="1" si="20"/>
        <v/>
      </c>
      <c r="O195" s="2" t="str">
        <f t="shared" si="21"/>
        <v/>
      </c>
      <c r="P195" s="17" t="str">
        <f t="shared" si="22"/>
        <v/>
      </c>
      <c r="Q195" s="20" t="str">
        <f t="shared" si="23"/>
        <v/>
      </c>
      <c r="R195" s="2"/>
      <c r="S195" s="6"/>
      <c r="T195" s="6"/>
      <c r="U195" s="22"/>
      <c r="V195" s="4"/>
      <c r="W195" s="4"/>
      <c r="X195" s="4"/>
    </row>
    <row r="196" spans="1:24">
      <c r="A196" s="2"/>
      <c r="B196" s="2"/>
      <c r="C196" s="2"/>
      <c r="D196" s="3"/>
      <c r="E196" s="3"/>
      <c r="F196" s="3"/>
      <c r="G196" s="2"/>
      <c r="H196" s="2"/>
      <c r="I196" s="4"/>
      <c r="J196" s="4"/>
      <c r="K196" s="4"/>
      <c r="L196" s="21" t="str">
        <f t="shared" si="18"/>
        <v/>
      </c>
      <c r="M196" s="5" t="str">
        <f t="shared" ca="1" si="19"/>
        <v/>
      </c>
      <c r="N196" s="21" t="str">
        <f t="shared" ca="1" si="20"/>
        <v/>
      </c>
      <c r="O196" s="2" t="str">
        <f t="shared" si="21"/>
        <v/>
      </c>
      <c r="P196" s="17" t="str">
        <f t="shared" si="22"/>
        <v/>
      </c>
      <c r="Q196" s="20" t="str">
        <f t="shared" si="23"/>
        <v/>
      </c>
      <c r="R196" s="2"/>
      <c r="S196" s="6"/>
      <c r="T196" s="6"/>
      <c r="U196" s="22"/>
      <c r="V196" s="4"/>
      <c r="W196" s="4"/>
      <c r="X196" s="4"/>
    </row>
    <row r="197" spans="1:24">
      <c r="A197" s="2"/>
      <c r="B197" s="2"/>
      <c r="C197" s="2"/>
      <c r="D197" s="3"/>
      <c r="E197" s="3"/>
      <c r="F197" s="3"/>
      <c r="G197" s="2"/>
      <c r="H197" s="2"/>
      <c r="I197" s="4"/>
      <c r="J197" s="4"/>
      <c r="K197" s="4"/>
      <c r="L197" s="21" t="str">
        <f t="shared" si="18"/>
        <v/>
      </c>
      <c r="M197" s="5" t="str">
        <f t="shared" ca="1" si="19"/>
        <v/>
      </c>
      <c r="N197" s="21" t="str">
        <f t="shared" ca="1" si="20"/>
        <v/>
      </c>
      <c r="O197" s="2" t="str">
        <f t="shared" si="21"/>
        <v/>
      </c>
      <c r="P197" s="17" t="str">
        <f t="shared" si="22"/>
        <v/>
      </c>
      <c r="Q197" s="20" t="str">
        <f t="shared" si="23"/>
        <v/>
      </c>
      <c r="R197" s="2"/>
      <c r="S197" s="6"/>
      <c r="T197" s="6"/>
      <c r="U197" s="22"/>
      <c r="V197" s="4"/>
      <c r="W197" s="4"/>
      <c r="X197" s="4"/>
    </row>
    <row r="198" spans="1:24">
      <c r="A198" s="2"/>
      <c r="B198" s="2"/>
      <c r="C198" s="2"/>
      <c r="D198" s="3"/>
      <c r="E198" s="3"/>
      <c r="F198" s="3"/>
      <c r="G198" s="2"/>
      <c r="H198" s="2"/>
      <c r="I198" s="4"/>
      <c r="J198" s="4"/>
      <c r="K198" s="4"/>
      <c r="L198" s="21" t="str">
        <f t="shared" si="18"/>
        <v/>
      </c>
      <c r="M198" s="5" t="str">
        <f t="shared" ca="1" si="19"/>
        <v/>
      </c>
      <c r="N198" s="21" t="str">
        <f t="shared" ca="1" si="20"/>
        <v/>
      </c>
      <c r="O198" s="2" t="str">
        <f t="shared" si="21"/>
        <v/>
      </c>
      <c r="P198" s="17" t="str">
        <f t="shared" si="22"/>
        <v/>
      </c>
      <c r="Q198" s="20" t="str">
        <f t="shared" si="23"/>
        <v/>
      </c>
      <c r="R198" s="2"/>
      <c r="S198" s="6"/>
      <c r="T198" s="6"/>
      <c r="U198" s="22"/>
      <c r="V198" s="4"/>
      <c r="W198" s="4"/>
      <c r="X198" s="4"/>
    </row>
    <row r="199" spans="1:24">
      <c r="A199" s="2"/>
      <c r="B199" s="2"/>
      <c r="C199" s="2"/>
      <c r="D199" s="3"/>
      <c r="E199" s="3"/>
      <c r="F199" s="3"/>
      <c r="G199" s="2"/>
      <c r="H199" s="2"/>
      <c r="I199" s="4"/>
      <c r="J199" s="4"/>
      <c r="K199" s="4"/>
      <c r="L199" s="21" t="str">
        <f t="shared" si="18"/>
        <v/>
      </c>
      <c r="M199" s="5" t="str">
        <f t="shared" ca="1" si="19"/>
        <v/>
      </c>
      <c r="N199" s="21" t="str">
        <f t="shared" ca="1" si="20"/>
        <v/>
      </c>
      <c r="O199" s="2" t="str">
        <f t="shared" si="21"/>
        <v/>
      </c>
      <c r="P199" s="17" t="str">
        <f t="shared" si="22"/>
        <v/>
      </c>
      <c r="Q199" s="20" t="str">
        <f t="shared" si="23"/>
        <v/>
      </c>
      <c r="R199" s="2"/>
      <c r="S199" s="6"/>
      <c r="T199" s="6"/>
      <c r="U199" s="22"/>
      <c r="V199" s="4"/>
      <c r="W199" s="4"/>
      <c r="X199" s="4"/>
    </row>
    <row r="200" spans="1:24">
      <c r="A200" s="2"/>
      <c r="B200" s="2"/>
      <c r="C200" s="2"/>
      <c r="D200" s="3"/>
      <c r="E200" s="3"/>
      <c r="F200" s="3"/>
      <c r="G200" s="2"/>
      <c r="H200" s="2"/>
      <c r="I200" s="4"/>
      <c r="J200" s="4"/>
      <c r="K200" s="4"/>
      <c r="L200" s="21" t="str">
        <f t="shared" si="18"/>
        <v/>
      </c>
      <c r="M200" s="5" t="str">
        <f t="shared" ca="1" si="19"/>
        <v/>
      </c>
      <c r="N200" s="21" t="str">
        <f t="shared" ca="1" si="20"/>
        <v/>
      </c>
      <c r="O200" s="2" t="str">
        <f t="shared" si="21"/>
        <v/>
      </c>
      <c r="P200" s="17" t="str">
        <f t="shared" si="22"/>
        <v/>
      </c>
      <c r="Q200" s="20" t="str">
        <f t="shared" si="23"/>
        <v/>
      </c>
      <c r="R200" s="2"/>
      <c r="S200" s="6"/>
      <c r="T200" s="6"/>
      <c r="U200" s="22"/>
      <c r="V200" s="4"/>
      <c r="W200" s="4"/>
      <c r="X200" s="4"/>
    </row>
    <row r="201" spans="1:24">
      <c r="A201" s="2"/>
      <c r="B201" s="2"/>
      <c r="C201" s="2"/>
      <c r="D201" s="3"/>
      <c r="E201" s="3"/>
      <c r="F201" s="3"/>
      <c r="G201" s="2"/>
      <c r="H201" s="2"/>
      <c r="I201" s="4"/>
      <c r="J201" s="4"/>
      <c r="K201" s="4"/>
      <c r="L201" s="21" t="str">
        <f t="shared" si="18"/>
        <v/>
      </c>
      <c r="M201" s="5" t="str">
        <f t="shared" ca="1" si="19"/>
        <v/>
      </c>
      <c r="N201" s="21" t="str">
        <f t="shared" ca="1" si="20"/>
        <v/>
      </c>
      <c r="O201" s="2" t="str">
        <f t="shared" si="21"/>
        <v/>
      </c>
      <c r="P201" s="17" t="str">
        <f t="shared" si="22"/>
        <v/>
      </c>
      <c r="Q201" s="20" t="str">
        <f t="shared" si="23"/>
        <v/>
      </c>
      <c r="R201" s="2"/>
      <c r="S201" s="6"/>
      <c r="T201" s="6"/>
      <c r="U201" s="22"/>
      <c r="V201" s="4"/>
      <c r="W201" s="4"/>
      <c r="X201" s="4"/>
    </row>
    <row r="202" spans="1:24">
      <c r="A202" s="2"/>
      <c r="B202" s="2"/>
      <c r="C202" s="2"/>
      <c r="D202" s="3"/>
      <c r="E202" s="3"/>
      <c r="F202" s="3"/>
      <c r="G202" s="2"/>
      <c r="H202" s="2"/>
      <c r="I202" s="4"/>
      <c r="J202" s="4"/>
      <c r="K202" s="4"/>
      <c r="L202" s="21" t="str">
        <f t="shared" si="18"/>
        <v/>
      </c>
      <c r="M202" s="5" t="str">
        <f t="shared" ca="1" si="19"/>
        <v/>
      </c>
      <c r="N202" s="21" t="str">
        <f t="shared" ca="1" si="20"/>
        <v/>
      </c>
      <c r="O202" s="2" t="str">
        <f t="shared" si="21"/>
        <v/>
      </c>
      <c r="P202" s="17" t="str">
        <f t="shared" si="22"/>
        <v/>
      </c>
      <c r="Q202" s="20" t="str">
        <f t="shared" si="23"/>
        <v/>
      </c>
      <c r="R202" s="2"/>
      <c r="S202" s="6"/>
      <c r="T202" s="6"/>
      <c r="U202" s="22"/>
      <c r="V202" s="4"/>
      <c r="W202" s="4"/>
      <c r="X202" s="4"/>
    </row>
    <row r="203" spans="1:24">
      <c r="A203" s="2"/>
      <c r="B203" s="2"/>
      <c r="C203" s="2"/>
      <c r="D203" s="3"/>
      <c r="E203" s="3"/>
      <c r="F203" s="3"/>
      <c r="G203" s="2"/>
      <c r="H203" s="2"/>
      <c r="I203" s="4"/>
      <c r="J203" s="4"/>
      <c r="K203" s="4"/>
      <c r="L203" s="21" t="str">
        <f t="shared" si="18"/>
        <v/>
      </c>
      <c r="M203" s="5" t="str">
        <f t="shared" ca="1" si="19"/>
        <v/>
      </c>
      <c r="N203" s="21" t="str">
        <f t="shared" ca="1" si="20"/>
        <v/>
      </c>
      <c r="O203" s="2" t="str">
        <f t="shared" si="21"/>
        <v/>
      </c>
      <c r="P203" s="17" t="str">
        <f t="shared" si="22"/>
        <v/>
      </c>
      <c r="Q203" s="20" t="str">
        <f t="shared" si="23"/>
        <v/>
      </c>
      <c r="R203" s="2"/>
      <c r="S203" s="6"/>
      <c r="T203" s="6"/>
      <c r="U203" s="22"/>
      <c r="V203" s="4"/>
      <c r="W203" s="4"/>
      <c r="X203" s="4"/>
    </row>
    <row r="204" spans="1:24">
      <c r="A204" s="2"/>
      <c r="B204" s="2"/>
      <c r="C204" s="2"/>
      <c r="D204" s="3"/>
      <c r="E204" s="3"/>
      <c r="F204" s="3"/>
      <c r="G204" s="2"/>
      <c r="H204" s="2"/>
      <c r="I204" s="4"/>
      <c r="J204" s="4"/>
      <c r="K204" s="4"/>
      <c r="L204" s="21" t="str">
        <f t="shared" si="18"/>
        <v/>
      </c>
      <c r="M204" s="5" t="str">
        <f t="shared" ca="1" si="19"/>
        <v/>
      </c>
      <c r="N204" s="21" t="str">
        <f t="shared" ca="1" si="20"/>
        <v/>
      </c>
      <c r="O204" s="2" t="str">
        <f t="shared" si="21"/>
        <v/>
      </c>
      <c r="P204" s="17" t="str">
        <f t="shared" si="22"/>
        <v/>
      </c>
      <c r="Q204" s="20" t="str">
        <f t="shared" si="23"/>
        <v/>
      </c>
      <c r="R204" s="2"/>
      <c r="S204" s="6"/>
      <c r="T204" s="6"/>
      <c r="U204" s="22"/>
      <c r="V204" s="4"/>
      <c r="W204" s="4"/>
      <c r="X204" s="4"/>
    </row>
    <row r="205" spans="1:24">
      <c r="A205" s="2"/>
      <c r="B205" s="2"/>
      <c r="C205" s="2"/>
      <c r="D205" s="3"/>
      <c r="E205" s="3"/>
      <c r="F205" s="3"/>
      <c r="G205" s="2"/>
      <c r="H205" s="2"/>
      <c r="I205" s="4"/>
      <c r="J205" s="4"/>
      <c r="K205" s="4"/>
      <c r="L205" s="21" t="str">
        <f t="shared" si="18"/>
        <v/>
      </c>
      <c r="M205" s="5" t="str">
        <f t="shared" ca="1" si="19"/>
        <v/>
      </c>
      <c r="N205" s="21" t="str">
        <f t="shared" ca="1" si="20"/>
        <v/>
      </c>
      <c r="O205" s="2" t="str">
        <f t="shared" si="21"/>
        <v/>
      </c>
      <c r="P205" s="17" t="str">
        <f t="shared" si="22"/>
        <v/>
      </c>
      <c r="Q205" s="20" t="str">
        <f t="shared" si="23"/>
        <v/>
      </c>
      <c r="R205" s="2"/>
      <c r="S205" s="6"/>
      <c r="T205" s="6"/>
      <c r="U205" s="22"/>
      <c r="V205" s="4"/>
      <c r="W205" s="4"/>
      <c r="X205" s="4"/>
    </row>
    <row r="206" spans="1:24">
      <c r="A206" s="2"/>
      <c r="B206" s="2"/>
      <c r="C206" s="2"/>
      <c r="D206" s="3"/>
      <c r="E206" s="3"/>
      <c r="F206" s="3"/>
      <c r="G206" s="2"/>
      <c r="H206" s="2"/>
      <c r="I206" s="4"/>
      <c r="J206" s="4"/>
      <c r="K206" s="4"/>
      <c r="L206" s="21" t="str">
        <f t="shared" si="18"/>
        <v/>
      </c>
      <c r="M206" s="5" t="str">
        <f t="shared" ca="1" si="19"/>
        <v/>
      </c>
      <c r="N206" s="21" t="str">
        <f t="shared" ca="1" si="20"/>
        <v/>
      </c>
      <c r="O206" s="2" t="str">
        <f t="shared" si="21"/>
        <v/>
      </c>
      <c r="P206" s="17" t="str">
        <f t="shared" si="22"/>
        <v/>
      </c>
      <c r="Q206" s="20" t="str">
        <f t="shared" si="23"/>
        <v/>
      </c>
      <c r="R206" s="2"/>
      <c r="S206" s="6"/>
      <c r="T206" s="6"/>
      <c r="U206" s="22"/>
      <c r="V206" s="4"/>
      <c r="W206" s="4"/>
      <c r="X206" s="4"/>
    </row>
    <row r="207" spans="1:24">
      <c r="A207" s="2"/>
      <c r="B207" s="2"/>
      <c r="C207" s="2"/>
      <c r="D207" s="3"/>
      <c r="E207" s="3"/>
      <c r="F207" s="3"/>
      <c r="G207" s="2"/>
      <c r="H207" s="2"/>
      <c r="I207" s="4"/>
      <c r="J207" s="4"/>
      <c r="K207" s="4"/>
      <c r="L207" s="21" t="str">
        <f t="shared" si="18"/>
        <v/>
      </c>
      <c r="M207" s="5" t="str">
        <f t="shared" ca="1" si="19"/>
        <v/>
      </c>
      <c r="N207" s="21" t="str">
        <f t="shared" ca="1" si="20"/>
        <v/>
      </c>
      <c r="O207" s="2" t="str">
        <f t="shared" si="21"/>
        <v/>
      </c>
      <c r="P207" s="17" t="str">
        <f t="shared" si="22"/>
        <v/>
      </c>
      <c r="Q207" s="20" t="str">
        <f t="shared" si="23"/>
        <v/>
      </c>
      <c r="R207" s="2"/>
      <c r="S207" s="6"/>
      <c r="T207" s="6"/>
      <c r="U207" s="22"/>
      <c r="V207" s="4"/>
      <c r="W207" s="4"/>
      <c r="X207" s="4"/>
    </row>
    <row r="208" spans="1:24">
      <c r="A208" s="2"/>
      <c r="B208" s="2"/>
      <c r="C208" s="2"/>
      <c r="D208" s="3"/>
      <c r="E208" s="3"/>
      <c r="F208" s="3"/>
      <c r="G208" s="2"/>
      <c r="H208" s="2"/>
      <c r="I208" s="4"/>
      <c r="J208" s="4"/>
      <c r="K208" s="4"/>
      <c r="L208" s="21" t="str">
        <f t="shared" si="18"/>
        <v/>
      </c>
      <c r="M208" s="5" t="str">
        <f t="shared" ca="1" si="19"/>
        <v/>
      </c>
      <c r="N208" s="21" t="str">
        <f t="shared" ca="1" si="20"/>
        <v/>
      </c>
      <c r="O208" s="2" t="str">
        <f t="shared" si="21"/>
        <v/>
      </c>
      <c r="P208" s="17" t="str">
        <f t="shared" si="22"/>
        <v/>
      </c>
      <c r="Q208" s="20" t="str">
        <f t="shared" si="23"/>
        <v/>
      </c>
      <c r="R208" s="2"/>
      <c r="S208" s="6"/>
      <c r="T208" s="6"/>
      <c r="U208" s="22"/>
      <c r="V208" s="4"/>
      <c r="W208" s="4"/>
      <c r="X208" s="4"/>
    </row>
    <row r="209" spans="1:24">
      <c r="A209" s="2"/>
      <c r="B209" s="2"/>
      <c r="C209" s="2"/>
      <c r="D209" s="3"/>
      <c r="E209" s="3"/>
      <c r="F209" s="3"/>
      <c r="G209" s="2"/>
      <c r="H209" s="2"/>
      <c r="I209" s="4"/>
      <c r="J209" s="4"/>
      <c r="K209" s="4"/>
      <c r="L209" s="21" t="str">
        <f t="shared" si="18"/>
        <v/>
      </c>
      <c r="M209" s="5" t="str">
        <f t="shared" ca="1" si="19"/>
        <v/>
      </c>
      <c r="N209" s="21" t="str">
        <f t="shared" ca="1" si="20"/>
        <v/>
      </c>
      <c r="O209" s="2" t="str">
        <f t="shared" si="21"/>
        <v/>
      </c>
      <c r="P209" s="17" t="str">
        <f t="shared" si="22"/>
        <v/>
      </c>
      <c r="Q209" s="20" t="str">
        <f t="shared" si="23"/>
        <v/>
      </c>
      <c r="R209" s="2"/>
      <c r="S209" s="6"/>
      <c r="T209" s="6"/>
      <c r="U209" s="22"/>
      <c r="V209" s="4"/>
      <c r="W209" s="4"/>
      <c r="X209" s="4"/>
    </row>
    <row r="210" spans="1:24">
      <c r="A210" s="2"/>
      <c r="B210" s="2"/>
      <c r="C210" s="2"/>
      <c r="D210" s="3"/>
      <c r="E210" s="3"/>
      <c r="F210" s="3"/>
      <c r="G210" s="2"/>
      <c r="H210" s="2"/>
      <c r="I210" s="4"/>
      <c r="J210" s="4"/>
      <c r="K210" s="4"/>
      <c r="L210" s="21" t="str">
        <f t="shared" si="18"/>
        <v/>
      </c>
      <c r="M210" s="5" t="str">
        <f t="shared" ca="1" si="19"/>
        <v/>
      </c>
      <c r="N210" s="21" t="str">
        <f t="shared" ca="1" si="20"/>
        <v/>
      </c>
      <c r="O210" s="2" t="str">
        <f t="shared" si="21"/>
        <v/>
      </c>
      <c r="P210" s="17" t="str">
        <f t="shared" si="22"/>
        <v/>
      </c>
      <c r="Q210" s="20" t="str">
        <f t="shared" si="23"/>
        <v/>
      </c>
      <c r="R210" s="2"/>
      <c r="S210" s="6"/>
      <c r="T210" s="6"/>
      <c r="U210" s="22"/>
      <c r="V210" s="4"/>
      <c r="W210" s="4"/>
      <c r="X210" s="4"/>
    </row>
    <row r="211" spans="1:24">
      <c r="A211" s="2"/>
      <c r="B211" s="2"/>
      <c r="C211" s="2"/>
      <c r="D211" s="3"/>
      <c r="E211" s="3"/>
      <c r="F211" s="3"/>
      <c r="G211" s="2"/>
      <c r="H211" s="2"/>
      <c r="I211" s="4"/>
      <c r="J211" s="4"/>
      <c r="K211" s="4"/>
      <c r="L211" s="21" t="str">
        <f t="shared" si="18"/>
        <v/>
      </c>
      <c r="M211" s="5" t="str">
        <f t="shared" ca="1" si="19"/>
        <v/>
      </c>
      <c r="N211" s="21" t="str">
        <f t="shared" ca="1" si="20"/>
        <v/>
      </c>
      <c r="O211" s="2" t="str">
        <f t="shared" si="21"/>
        <v/>
      </c>
      <c r="P211" s="17" t="str">
        <f t="shared" si="22"/>
        <v/>
      </c>
      <c r="Q211" s="20" t="str">
        <f t="shared" si="23"/>
        <v/>
      </c>
      <c r="R211" s="2"/>
      <c r="S211" s="6"/>
      <c r="T211" s="6"/>
      <c r="U211" s="22"/>
      <c r="V211" s="4"/>
      <c r="W211" s="4"/>
      <c r="X211" s="4"/>
    </row>
    <row r="212" spans="1:24">
      <c r="A212" s="2"/>
      <c r="B212" s="2"/>
      <c r="C212" s="2"/>
      <c r="D212" s="3"/>
      <c r="E212" s="3"/>
      <c r="F212" s="3"/>
      <c r="G212" s="2"/>
      <c r="H212" s="2"/>
      <c r="I212" s="4"/>
      <c r="J212" s="4"/>
      <c r="K212" s="4"/>
      <c r="L212" s="21" t="str">
        <f t="shared" si="18"/>
        <v/>
      </c>
      <c r="M212" s="5" t="str">
        <f t="shared" ca="1" si="19"/>
        <v/>
      </c>
      <c r="N212" s="21" t="str">
        <f t="shared" ca="1" si="20"/>
        <v/>
      </c>
      <c r="O212" s="2" t="str">
        <f t="shared" si="21"/>
        <v/>
      </c>
      <c r="P212" s="17" t="str">
        <f t="shared" si="22"/>
        <v/>
      </c>
      <c r="Q212" s="20" t="str">
        <f t="shared" si="23"/>
        <v/>
      </c>
      <c r="R212" s="2"/>
      <c r="S212" s="6"/>
      <c r="T212" s="6"/>
      <c r="U212" s="22"/>
      <c r="V212" s="4"/>
      <c r="W212" s="4"/>
      <c r="X212" s="4"/>
    </row>
    <row r="213" spans="1:24">
      <c r="A213" s="2"/>
      <c r="B213" s="2"/>
      <c r="C213" s="2"/>
      <c r="D213" s="3"/>
      <c r="E213" s="3"/>
      <c r="F213" s="3"/>
      <c r="G213" s="2"/>
      <c r="H213" s="2"/>
      <c r="I213" s="4"/>
      <c r="J213" s="4"/>
      <c r="K213" s="4"/>
      <c r="L213" s="21" t="str">
        <f t="shared" si="18"/>
        <v/>
      </c>
      <c r="M213" s="5" t="str">
        <f t="shared" ca="1" si="19"/>
        <v/>
      </c>
      <c r="N213" s="21" t="str">
        <f t="shared" ca="1" si="20"/>
        <v/>
      </c>
      <c r="O213" s="2" t="str">
        <f t="shared" si="21"/>
        <v/>
      </c>
      <c r="P213" s="17" t="str">
        <f t="shared" si="22"/>
        <v/>
      </c>
      <c r="Q213" s="20" t="str">
        <f t="shared" si="23"/>
        <v/>
      </c>
      <c r="R213" s="2"/>
      <c r="S213" s="6"/>
      <c r="T213" s="6"/>
      <c r="U213" s="22"/>
      <c r="V213" s="4"/>
      <c r="W213" s="4"/>
      <c r="X213" s="4"/>
    </row>
    <row r="214" spans="1:24">
      <c r="A214" s="2"/>
      <c r="B214" s="2"/>
      <c r="C214" s="2"/>
      <c r="D214" s="3"/>
      <c r="E214" s="3"/>
      <c r="F214" s="3"/>
      <c r="G214" s="2"/>
      <c r="H214" s="2"/>
      <c r="I214" s="4"/>
      <c r="J214" s="4"/>
      <c r="K214" s="4"/>
      <c r="L214" s="21" t="str">
        <f t="shared" si="18"/>
        <v/>
      </c>
      <c r="M214" s="5" t="str">
        <f t="shared" ca="1" si="19"/>
        <v/>
      </c>
      <c r="N214" s="21" t="str">
        <f t="shared" ca="1" si="20"/>
        <v/>
      </c>
      <c r="O214" s="2" t="str">
        <f t="shared" si="21"/>
        <v/>
      </c>
      <c r="P214" s="17" t="str">
        <f t="shared" si="22"/>
        <v/>
      </c>
      <c r="Q214" s="20" t="str">
        <f t="shared" si="23"/>
        <v/>
      </c>
      <c r="R214" s="2"/>
      <c r="S214" s="6"/>
      <c r="T214" s="6"/>
      <c r="U214" s="22"/>
      <c r="V214" s="4"/>
      <c r="W214" s="4"/>
      <c r="X214" s="4"/>
    </row>
    <row r="215" spans="1:24">
      <c r="A215" s="2"/>
      <c r="B215" s="2"/>
      <c r="C215" s="2"/>
      <c r="D215" s="3"/>
      <c r="E215" s="3"/>
      <c r="F215" s="3"/>
      <c r="G215" s="2"/>
      <c r="H215" s="2"/>
      <c r="I215" s="4"/>
      <c r="J215" s="4"/>
      <c r="K215" s="4"/>
      <c r="L215" s="21" t="str">
        <f t="shared" si="18"/>
        <v/>
      </c>
      <c r="M215" s="5" t="str">
        <f t="shared" ca="1" si="19"/>
        <v/>
      </c>
      <c r="N215" s="21" t="str">
        <f t="shared" ca="1" si="20"/>
        <v/>
      </c>
      <c r="O215" s="2" t="str">
        <f t="shared" si="21"/>
        <v/>
      </c>
      <c r="P215" s="17" t="str">
        <f t="shared" si="22"/>
        <v/>
      </c>
      <c r="Q215" s="20" t="str">
        <f t="shared" si="23"/>
        <v/>
      </c>
      <c r="R215" s="2"/>
      <c r="S215" s="6"/>
      <c r="T215" s="6"/>
      <c r="U215" s="22"/>
      <c r="V215" s="4"/>
      <c r="W215" s="4"/>
      <c r="X215" s="4"/>
    </row>
    <row r="216" spans="1:24">
      <c r="A216" s="2"/>
      <c r="B216" s="2"/>
      <c r="C216" s="2"/>
      <c r="D216" s="3"/>
      <c r="E216" s="3"/>
      <c r="F216" s="3"/>
      <c r="G216" s="2"/>
      <c r="H216" s="2"/>
      <c r="I216" s="4"/>
      <c r="J216" s="4"/>
      <c r="K216" s="4"/>
      <c r="L216" s="21" t="str">
        <f t="shared" si="18"/>
        <v/>
      </c>
      <c r="M216" s="5" t="str">
        <f t="shared" ca="1" si="19"/>
        <v/>
      </c>
      <c r="N216" s="21" t="str">
        <f t="shared" ca="1" si="20"/>
        <v/>
      </c>
      <c r="O216" s="2" t="str">
        <f t="shared" si="21"/>
        <v/>
      </c>
      <c r="P216" s="17" t="str">
        <f t="shared" si="22"/>
        <v/>
      </c>
      <c r="Q216" s="20" t="str">
        <f t="shared" si="23"/>
        <v/>
      </c>
      <c r="R216" s="2"/>
      <c r="S216" s="6"/>
      <c r="T216" s="6"/>
      <c r="U216" s="22"/>
      <c r="V216" s="4"/>
      <c r="W216" s="4"/>
      <c r="X216" s="4"/>
    </row>
    <row r="217" spans="1:24">
      <c r="A217" s="2"/>
      <c r="B217" s="2"/>
      <c r="C217" s="2"/>
      <c r="D217" s="3"/>
      <c r="E217" s="3"/>
      <c r="F217" s="3"/>
      <c r="G217" s="2"/>
      <c r="H217" s="2"/>
      <c r="I217" s="4"/>
      <c r="J217" s="4"/>
      <c r="K217" s="4"/>
      <c r="L217" s="21" t="str">
        <f t="shared" si="18"/>
        <v/>
      </c>
      <c r="M217" s="5" t="str">
        <f t="shared" ca="1" si="19"/>
        <v/>
      </c>
      <c r="N217" s="21" t="str">
        <f t="shared" ca="1" si="20"/>
        <v/>
      </c>
      <c r="O217" s="2" t="str">
        <f t="shared" si="21"/>
        <v/>
      </c>
      <c r="P217" s="17" t="str">
        <f t="shared" si="22"/>
        <v/>
      </c>
      <c r="Q217" s="20" t="str">
        <f t="shared" si="23"/>
        <v/>
      </c>
      <c r="R217" s="2"/>
      <c r="S217" s="6"/>
      <c r="T217" s="6"/>
      <c r="U217" s="22"/>
      <c r="V217" s="4"/>
      <c r="W217" s="4"/>
      <c r="X217" s="4"/>
    </row>
    <row r="218" spans="1:24">
      <c r="A218" s="2"/>
      <c r="B218" s="2"/>
      <c r="C218" s="2"/>
      <c r="D218" s="3"/>
      <c r="E218" s="3"/>
      <c r="F218" s="3"/>
      <c r="G218" s="2"/>
      <c r="H218" s="2"/>
      <c r="I218" s="4"/>
      <c r="J218" s="4"/>
      <c r="K218" s="4"/>
      <c r="L218" s="21" t="str">
        <f t="shared" si="18"/>
        <v/>
      </c>
      <c r="M218" s="5" t="str">
        <f t="shared" ca="1" si="19"/>
        <v/>
      </c>
      <c r="N218" s="21" t="str">
        <f t="shared" ca="1" si="20"/>
        <v/>
      </c>
      <c r="O218" s="2" t="str">
        <f t="shared" si="21"/>
        <v/>
      </c>
      <c r="P218" s="17" t="str">
        <f t="shared" si="22"/>
        <v/>
      </c>
      <c r="Q218" s="20" t="str">
        <f t="shared" si="23"/>
        <v/>
      </c>
      <c r="R218" s="2"/>
      <c r="S218" s="6"/>
      <c r="T218" s="6"/>
      <c r="U218" s="22"/>
      <c r="V218" s="4"/>
      <c r="W218" s="4"/>
      <c r="X218" s="4"/>
    </row>
    <row r="219" spans="1:24">
      <c r="A219" s="2"/>
      <c r="B219" s="2"/>
      <c r="C219" s="2"/>
      <c r="D219" s="3"/>
      <c r="E219" s="3"/>
      <c r="F219" s="3"/>
      <c r="G219" s="2"/>
      <c r="H219" s="2"/>
      <c r="I219" s="4"/>
      <c r="J219" s="4"/>
      <c r="K219" s="4"/>
      <c r="L219" s="21" t="str">
        <f t="shared" si="18"/>
        <v/>
      </c>
      <c r="M219" s="5" t="str">
        <f t="shared" ca="1" si="19"/>
        <v/>
      </c>
      <c r="N219" s="21" t="str">
        <f t="shared" ca="1" si="20"/>
        <v/>
      </c>
      <c r="O219" s="2" t="str">
        <f t="shared" si="21"/>
        <v/>
      </c>
      <c r="P219" s="17" t="str">
        <f t="shared" si="22"/>
        <v/>
      </c>
      <c r="Q219" s="20" t="str">
        <f t="shared" si="23"/>
        <v/>
      </c>
      <c r="R219" s="2"/>
      <c r="S219" s="6"/>
      <c r="T219" s="6"/>
      <c r="U219" s="22"/>
      <c r="V219" s="4"/>
      <c r="W219" s="4"/>
      <c r="X219" s="4"/>
    </row>
    <row r="220" spans="1:24">
      <c r="A220" s="2"/>
      <c r="B220" s="2"/>
      <c r="C220" s="2"/>
      <c r="D220" s="3"/>
      <c r="E220" s="3"/>
      <c r="F220" s="3"/>
      <c r="G220" s="2"/>
      <c r="H220" s="2"/>
      <c r="I220" s="4"/>
      <c r="J220" s="4"/>
      <c r="K220" s="4"/>
      <c r="L220" s="21" t="str">
        <f t="shared" si="18"/>
        <v/>
      </c>
      <c r="M220" s="5" t="str">
        <f t="shared" ca="1" si="19"/>
        <v/>
      </c>
      <c r="N220" s="21" t="str">
        <f t="shared" ca="1" si="20"/>
        <v/>
      </c>
      <c r="O220" s="2" t="str">
        <f t="shared" si="21"/>
        <v/>
      </c>
      <c r="P220" s="17" t="str">
        <f t="shared" si="22"/>
        <v/>
      </c>
      <c r="Q220" s="20" t="str">
        <f t="shared" si="23"/>
        <v/>
      </c>
      <c r="R220" s="2"/>
      <c r="S220" s="6"/>
      <c r="T220" s="6"/>
      <c r="U220" s="22"/>
      <c r="V220" s="4"/>
      <c r="W220" s="4"/>
      <c r="X220" s="4"/>
    </row>
    <row r="221" spans="1:24">
      <c r="A221" s="2"/>
      <c r="B221" s="2"/>
      <c r="C221" s="2"/>
      <c r="D221" s="3"/>
      <c r="E221" s="3"/>
      <c r="F221" s="3"/>
      <c r="G221" s="2"/>
      <c r="H221" s="2"/>
      <c r="I221" s="4"/>
      <c r="J221" s="4"/>
      <c r="K221" s="4"/>
      <c r="L221" s="21" t="str">
        <f t="shared" si="18"/>
        <v/>
      </c>
      <c r="M221" s="5" t="str">
        <f t="shared" ca="1" si="19"/>
        <v/>
      </c>
      <c r="N221" s="21" t="str">
        <f t="shared" ca="1" si="20"/>
        <v/>
      </c>
      <c r="O221" s="2" t="str">
        <f t="shared" si="21"/>
        <v/>
      </c>
      <c r="P221" s="17" t="str">
        <f t="shared" si="22"/>
        <v/>
      </c>
      <c r="Q221" s="20" t="str">
        <f t="shared" si="23"/>
        <v/>
      </c>
      <c r="R221" s="2"/>
      <c r="S221" s="6"/>
      <c r="T221" s="6"/>
      <c r="U221" s="22"/>
      <c r="V221" s="4"/>
      <c r="W221" s="4"/>
      <c r="X221" s="4"/>
    </row>
    <row r="222" spans="1:24">
      <c r="A222" s="2"/>
      <c r="B222" s="2"/>
      <c r="C222" s="2"/>
      <c r="D222" s="3"/>
      <c r="E222" s="3"/>
      <c r="F222" s="3"/>
      <c r="G222" s="2"/>
      <c r="H222" s="2"/>
      <c r="I222" s="4"/>
      <c r="J222" s="4"/>
      <c r="K222" s="4"/>
      <c r="L222" s="21" t="str">
        <f t="shared" si="18"/>
        <v/>
      </c>
      <c r="M222" s="5" t="str">
        <f t="shared" ca="1" si="19"/>
        <v/>
      </c>
      <c r="N222" s="21" t="str">
        <f t="shared" ca="1" si="20"/>
        <v/>
      </c>
      <c r="O222" s="2" t="str">
        <f t="shared" si="21"/>
        <v/>
      </c>
      <c r="P222" s="17" t="str">
        <f t="shared" si="22"/>
        <v/>
      </c>
      <c r="Q222" s="20" t="str">
        <f t="shared" si="23"/>
        <v/>
      </c>
      <c r="R222" s="2"/>
      <c r="S222" s="6"/>
      <c r="T222" s="6"/>
      <c r="U222" s="22"/>
      <c r="V222" s="4"/>
      <c r="W222" s="4"/>
      <c r="X222" s="4"/>
    </row>
    <row r="223" spans="1:24">
      <c r="A223" s="2"/>
      <c r="B223" s="2"/>
      <c r="C223" s="2"/>
      <c r="D223" s="3"/>
      <c r="E223" s="3"/>
      <c r="F223" s="3"/>
      <c r="G223" s="2"/>
      <c r="H223" s="2"/>
      <c r="I223" s="4"/>
      <c r="J223" s="4"/>
      <c r="K223" s="4"/>
      <c r="L223" s="21" t="str">
        <f t="shared" si="18"/>
        <v/>
      </c>
      <c r="M223" s="5" t="str">
        <f t="shared" ca="1" si="19"/>
        <v/>
      </c>
      <c r="N223" s="21" t="str">
        <f t="shared" ca="1" si="20"/>
        <v/>
      </c>
      <c r="O223" s="2" t="str">
        <f t="shared" si="21"/>
        <v/>
      </c>
      <c r="P223" s="17" t="str">
        <f t="shared" si="22"/>
        <v/>
      </c>
      <c r="Q223" s="20" t="str">
        <f t="shared" si="23"/>
        <v/>
      </c>
      <c r="R223" s="2"/>
      <c r="S223" s="6"/>
      <c r="T223" s="6"/>
      <c r="U223" s="22"/>
      <c r="V223" s="4"/>
      <c r="W223" s="4"/>
      <c r="X223" s="4"/>
    </row>
    <row r="224" spans="1:24">
      <c r="A224" s="2"/>
      <c r="B224" s="2"/>
      <c r="C224" s="2"/>
      <c r="D224" s="3"/>
      <c r="E224" s="3"/>
      <c r="F224" s="3"/>
      <c r="G224" s="2"/>
      <c r="H224" s="2"/>
      <c r="I224" s="4"/>
      <c r="J224" s="4"/>
      <c r="K224" s="4"/>
      <c r="L224" s="21" t="str">
        <f t="shared" si="18"/>
        <v/>
      </c>
      <c r="M224" s="5" t="str">
        <f t="shared" ca="1" si="19"/>
        <v/>
      </c>
      <c r="N224" s="21" t="str">
        <f t="shared" ca="1" si="20"/>
        <v/>
      </c>
      <c r="O224" s="2" t="str">
        <f t="shared" si="21"/>
        <v/>
      </c>
      <c r="P224" s="17" t="str">
        <f t="shared" si="22"/>
        <v/>
      </c>
      <c r="Q224" s="20" t="str">
        <f t="shared" si="23"/>
        <v/>
      </c>
      <c r="R224" s="2"/>
      <c r="S224" s="6"/>
      <c r="T224" s="6"/>
      <c r="U224" s="22"/>
      <c r="V224" s="4"/>
      <c r="W224" s="4"/>
      <c r="X224" s="4"/>
    </row>
    <row r="225" spans="1:24">
      <c r="A225" s="2"/>
      <c r="B225" s="2"/>
      <c r="C225" s="2"/>
      <c r="D225" s="3"/>
      <c r="E225" s="3"/>
      <c r="F225" s="3"/>
      <c r="G225" s="2"/>
      <c r="H225" s="2"/>
      <c r="I225" s="4"/>
      <c r="J225" s="4"/>
      <c r="K225" s="4"/>
      <c r="L225" s="21" t="str">
        <f t="shared" si="18"/>
        <v/>
      </c>
      <c r="M225" s="5" t="str">
        <f t="shared" ca="1" si="19"/>
        <v/>
      </c>
      <c r="N225" s="21" t="str">
        <f t="shared" ca="1" si="20"/>
        <v/>
      </c>
      <c r="O225" s="2" t="str">
        <f t="shared" si="21"/>
        <v/>
      </c>
      <c r="P225" s="17" t="str">
        <f t="shared" si="22"/>
        <v/>
      </c>
      <c r="Q225" s="20" t="str">
        <f t="shared" si="23"/>
        <v/>
      </c>
      <c r="R225" s="2"/>
      <c r="S225" s="6"/>
      <c r="T225" s="6"/>
      <c r="U225" s="22"/>
      <c r="V225" s="4"/>
      <c r="W225" s="4"/>
      <c r="X225" s="4"/>
    </row>
    <row r="226" spans="1:24">
      <c r="A226" s="2"/>
      <c r="B226" s="2"/>
      <c r="C226" s="2"/>
      <c r="D226" s="3"/>
      <c r="E226" s="3"/>
      <c r="F226" s="3"/>
      <c r="G226" s="2"/>
      <c r="H226" s="2"/>
      <c r="I226" s="4"/>
      <c r="J226" s="4"/>
      <c r="K226" s="4"/>
      <c r="L226" s="21" t="str">
        <f t="shared" si="18"/>
        <v/>
      </c>
      <c r="M226" s="5" t="str">
        <f t="shared" ca="1" si="19"/>
        <v/>
      </c>
      <c r="N226" s="21" t="str">
        <f t="shared" ca="1" si="20"/>
        <v/>
      </c>
      <c r="O226" s="2" t="str">
        <f t="shared" si="21"/>
        <v/>
      </c>
      <c r="P226" s="17" t="str">
        <f t="shared" si="22"/>
        <v/>
      </c>
      <c r="Q226" s="20" t="str">
        <f t="shared" si="23"/>
        <v/>
      </c>
      <c r="R226" s="2"/>
      <c r="S226" s="6"/>
      <c r="T226" s="6"/>
      <c r="U226" s="22"/>
      <c r="V226" s="4"/>
      <c r="W226" s="4"/>
      <c r="X226" s="4"/>
    </row>
    <row r="227" spans="1:24">
      <c r="A227" s="2"/>
      <c r="B227" s="2"/>
      <c r="C227" s="2"/>
      <c r="D227" s="3"/>
      <c r="E227" s="3"/>
      <c r="F227" s="3"/>
      <c r="G227" s="2"/>
      <c r="H227" s="2"/>
      <c r="I227" s="4"/>
      <c r="J227" s="4"/>
      <c r="K227" s="4"/>
      <c r="L227" s="21" t="str">
        <f t="shared" si="18"/>
        <v/>
      </c>
      <c r="M227" s="5" t="str">
        <f t="shared" ca="1" si="19"/>
        <v/>
      </c>
      <c r="N227" s="21" t="str">
        <f t="shared" ca="1" si="20"/>
        <v/>
      </c>
      <c r="O227" s="2" t="str">
        <f t="shared" si="21"/>
        <v/>
      </c>
      <c r="P227" s="17" t="str">
        <f t="shared" si="22"/>
        <v/>
      </c>
      <c r="Q227" s="20" t="str">
        <f t="shared" si="23"/>
        <v/>
      </c>
      <c r="R227" s="2"/>
      <c r="S227" s="6"/>
      <c r="T227" s="6"/>
      <c r="U227" s="22"/>
      <c r="V227" s="4"/>
      <c r="W227" s="4"/>
      <c r="X227" s="4"/>
    </row>
    <row r="228" spans="1:24">
      <c r="A228" s="2"/>
      <c r="B228" s="2"/>
      <c r="C228" s="2"/>
      <c r="D228" s="3"/>
      <c r="E228" s="3"/>
      <c r="F228" s="3"/>
      <c r="G228" s="2"/>
      <c r="H228" s="2"/>
      <c r="I228" s="4"/>
      <c r="J228" s="4"/>
      <c r="K228" s="4"/>
      <c r="L228" s="21" t="str">
        <f t="shared" si="18"/>
        <v/>
      </c>
      <c r="M228" s="5" t="str">
        <f t="shared" ca="1" si="19"/>
        <v/>
      </c>
      <c r="N228" s="21" t="str">
        <f t="shared" ca="1" si="20"/>
        <v/>
      </c>
      <c r="O228" s="2" t="str">
        <f t="shared" si="21"/>
        <v/>
      </c>
      <c r="P228" s="17" t="str">
        <f t="shared" si="22"/>
        <v/>
      </c>
      <c r="Q228" s="20" t="str">
        <f t="shared" si="23"/>
        <v/>
      </c>
      <c r="R228" s="2"/>
      <c r="S228" s="6"/>
      <c r="T228" s="6"/>
      <c r="U228" s="22"/>
      <c r="V228" s="4"/>
      <c r="W228" s="4"/>
      <c r="X228" s="4"/>
    </row>
    <row r="229" spans="1:24">
      <c r="A229" s="2"/>
      <c r="B229" s="2"/>
      <c r="C229" s="2"/>
      <c r="D229" s="3"/>
      <c r="E229" s="3"/>
      <c r="F229" s="3"/>
      <c r="G229" s="2"/>
      <c r="H229" s="2"/>
      <c r="I229" s="4"/>
      <c r="J229" s="4"/>
      <c r="K229" s="4"/>
      <c r="L229" s="21" t="str">
        <f t="shared" si="18"/>
        <v/>
      </c>
      <c r="M229" s="5" t="str">
        <f t="shared" ca="1" si="19"/>
        <v/>
      </c>
      <c r="N229" s="21" t="str">
        <f t="shared" ca="1" si="20"/>
        <v/>
      </c>
      <c r="O229" s="2" t="str">
        <f t="shared" si="21"/>
        <v/>
      </c>
      <c r="P229" s="17" t="str">
        <f t="shared" si="22"/>
        <v/>
      </c>
      <c r="Q229" s="20" t="str">
        <f t="shared" si="23"/>
        <v/>
      </c>
      <c r="R229" s="2"/>
      <c r="S229" s="6"/>
      <c r="T229" s="6"/>
      <c r="U229" s="22"/>
      <c r="V229" s="4"/>
      <c r="W229" s="4"/>
      <c r="X229" s="4"/>
    </row>
    <row r="230" spans="1:24">
      <c r="A230" s="2"/>
      <c r="B230" s="2"/>
      <c r="C230" s="2"/>
      <c r="D230" s="3"/>
      <c r="E230" s="3"/>
      <c r="F230" s="3"/>
      <c r="G230" s="2"/>
      <c r="H230" s="2"/>
      <c r="I230" s="4"/>
      <c r="J230" s="4"/>
      <c r="K230" s="4"/>
      <c r="L230" s="21" t="str">
        <f t="shared" si="18"/>
        <v/>
      </c>
      <c r="M230" s="5" t="str">
        <f t="shared" ca="1" si="19"/>
        <v/>
      </c>
      <c r="N230" s="21" t="str">
        <f t="shared" ca="1" si="20"/>
        <v/>
      </c>
      <c r="O230" s="2" t="str">
        <f t="shared" si="21"/>
        <v/>
      </c>
      <c r="P230" s="17" t="str">
        <f t="shared" si="22"/>
        <v/>
      </c>
      <c r="Q230" s="20" t="str">
        <f t="shared" si="23"/>
        <v/>
      </c>
      <c r="R230" s="2"/>
      <c r="S230" s="6"/>
      <c r="T230" s="6"/>
      <c r="U230" s="22"/>
      <c r="V230" s="4"/>
      <c r="W230" s="4"/>
      <c r="X230" s="4"/>
    </row>
    <row r="231" spans="1:24">
      <c r="A231" s="2"/>
      <c r="B231" s="2"/>
      <c r="C231" s="2"/>
      <c r="D231" s="3"/>
      <c r="E231" s="3"/>
      <c r="F231" s="3"/>
      <c r="G231" s="2"/>
      <c r="H231" s="2"/>
      <c r="I231" s="4"/>
      <c r="J231" s="4"/>
      <c r="K231" s="4"/>
      <c r="L231" s="21" t="str">
        <f t="shared" si="18"/>
        <v/>
      </c>
      <c r="M231" s="5" t="str">
        <f t="shared" ca="1" si="19"/>
        <v/>
      </c>
      <c r="N231" s="21" t="str">
        <f t="shared" ca="1" si="20"/>
        <v/>
      </c>
      <c r="O231" s="2" t="str">
        <f t="shared" si="21"/>
        <v/>
      </c>
      <c r="P231" s="17" t="str">
        <f t="shared" si="22"/>
        <v/>
      </c>
      <c r="Q231" s="20" t="str">
        <f t="shared" si="23"/>
        <v/>
      </c>
      <c r="R231" s="2"/>
      <c r="S231" s="6"/>
      <c r="T231" s="6"/>
      <c r="U231" s="22"/>
      <c r="V231" s="4"/>
      <c r="W231" s="4"/>
      <c r="X231" s="4"/>
    </row>
    <row r="232" spans="1:24">
      <c r="A232" s="2"/>
      <c r="B232" s="2"/>
      <c r="C232" s="2"/>
      <c r="D232" s="3"/>
      <c r="E232" s="3"/>
      <c r="F232" s="3"/>
      <c r="G232" s="2"/>
      <c r="H232" s="2"/>
      <c r="I232" s="4"/>
      <c r="J232" s="4"/>
      <c r="K232" s="4"/>
      <c r="L232" s="21" t="str">
        <f t="shared" si="18"/>
        <v/>
      </c>
      <c r="M232" s="5" t="str">
        <f t="shared" ca="1" si="19"/>
        <v/>
      </c>
      <c r="N232" s="21" t="str">
        <f t="shared" ca="1" si="20"/>
        <v/>
      </c>
      <c r="O232" s="2" t="str">
        <f t="shared" si="21"/>
        <v/>
      </c>
      <c r="P232" s="17" t="str">
        <f t="shared" si="22"/>
        <v/>
      </c>
      <c r="Q232" s="20" t="str">
        <f t="shared" si="23"/>
        <v/>
      </c>
      <c r="R232" s="2"/>
      <c r="S232" s="6"/>
      <c r="T232" s="6"/>
      <c r="U232" s="22"/>
      <c r="V232" s="4"/>
      <c r="W232" s="4"/>
      <c r="X232" s="4"/>
    </row>
    <row r="233" spans="1:24">
      <c r="A233" s="2"/>
      <c r="B233" s="2"/>
      <c r="C233" s="2"/>
      <c r="D233" s="3"/>
      <c r="E233" s="3"/>
      <c r="F233" s="3"/>
      <c r="G233" s="2"/>
      <c r="H233" s="2"/>
      <c r="I233" s="4"/>
      <c r="J233" s="4"/>
      <c r="K233" s="4"/>
      <c r="L233" s="21" t="str">
        <f t="shared" si="18"/>
        <v/>
      </c>
      <c r="M233" s="5" t="str">
        <f t="shared" ca="1" si="19"/>
        <v/>
      </c>
      <c r="N233" s="21" t="str">
        <f t="shared" ca="1" si="20"/>
        <v/>
      </c>
      <c r="O233" s="2" t="str">
        <f t="shared" si="21"/>
        <v/>
      </c>
      <c r="P233" s="17" t="str">
        <f t="shared" si="22"/>
        <v/>
      </c>
      <c r="Q233" s="20" t="str">
        <f t="shared" si="23"/>
        <v/>
      </c>
      <c r="R233" s="2"/>
      <c r="S233" s="6"/>
      <c r="T233" s="6"/>
      <c r="U233" s="22"/>
      <c r="V233" s="4"/>
      <c r="W233" s="4"/>
      <c r="X233" s="4"/>
    </row>
    <row r="234" spans="1:24">
      <c r="A234" s="2"/>
      <c r="B234" s="2"/>
      <c r="C234" s="2"/>
      <c r="D234" s="3"/>
      <c r="E234" s="3"/>
      <c r="F234" s="3"/>
      <c r="G234" s="2"/>
      <c r="H234" s="2"/>
      <c r="I234" s="4"/>
      <c r="J234" s="4"/>
      <c r="K234" s="4"/>
      <c r="L234" s="21" t="str">
        <f t="shared" si="18"/>
        <v/>
      </c>
      <c r="M234" s="5" t="str">
        <f t="shared" ca="1" si="19"/>
        <v/>
      </c>
      <c r="N234" s="21" t="str">
        <f t="shared" ca="1" si="20"/>
        <v/>
      </c>
      <c r="O234" s="2" t="str">
        <f t="shared" si="21"/>
        <v/>
      </c>
      <c r="P234" s="17" t="str">
        <f t="shared" si="22"/>
        <v/>
      </c>
      <c r="Q234" s="20" t="str">
        <f t="shared" si="23"/>
        <v/>
      </c>
      <c r="R234" s="2"/>
      <c r="S234" s="6"/>
      <c r="T234" s="6"/>
      <c r="U234" s="22"/>
      <c r="V234" s="4"/>
      <c r="W234" s="4"/>
      <c r="X234" s="4"/>
    </row>
    <row r="235" spans="1:24">
      <c r="A235" s="2"/>
      <c r="B235" s="2"/>
      <c r="C235" s="2"/>
      <c r="D235" s="3"/>
      <c r="E235" s="3"/>
      <c r="F235" s="3"/>
      <c r="G235" s="2"/>
      <c r="H235" s="2"/>
      <c r="I235" s="4"/>
      <c r="J235" s="4"/>
      <c r="K235" s="4"/>
      <c r="L235" s="21" t="str">
        <f t="shared" si="18"/>
        <v/>
      </c>
      <c r="M235" s="5" t="str">
        <f t="shared" ca="1" si="19"/>
        <v/>
      </c>
      <c r="N235" s="21" t="str">
        <f t="shared" ca="1" si="20"/>
        <v/>
      </c>
      <c r="O235" s="2" t="str">
        <f t="shared" si="21"/>
        <v/>
      </c>
      <c r="P235" s="17" t="str">
        <f t="shared" si="22"/>
        <v/>
      </c>
      <c r="Q235" s="20" t="str">
        <f t="shared" si="23"/>
        <v/>
      </c>
      <c r="R235" s="2"/>
      <c r="S235" s="6"/>
      <c r="T235" s="6"/>
      <c r="U235" s="22"/>
      <c r="V235" s="4"/>
      <c r="W235" s="4"/>
      <c r="X235" s="4"/>
    </row>
    <row r="236" spans="1:24">
      <c r="A236" s="2"/>
      <c r="B236" s="2"/>
      <c r="C236" s="2"/>
      <c r="D236" s="3"/>
      <c r="E236" s="3"/>
      <c r="F236" s="3"/>
      <c r="G236" s="2"/>
      <c r="H236" s="2"/>
      <c r="I236" s="4"/>
      <c r="J236" s="4"/>
      <c r="K236" s="4"/>
      <c r="L236" s="21" t="str">
        <f t="shared" si="18"/>
        <v/>
      </c>
      <c r="M236" s="5" t="str">
        <f t="shared" ca="1" si="19"/>
        <v/>
      </c>
      <c r="N236" s="21" t="str">
        <f t="shared" ca="1" si="20"/>
        <v/>
      </c>
      <c r="O236" s="2" t="str">
        <f t="shared" si="21"/>
        <v/>
      </c>
      <c r="P236" s="17" t="str">
        <f t="shared" si="22"/>
        <v/>
      </c>
      <c r="Q236" s="20" t="str">
        <f t="shared" si="23"/>
        <v/>
      </c>
      <c r="R236" s="2"/>
      <c r="S236" s="6"/>
      <c r="T236" s="6"/>
      <c r="U236" s="22"/>
      <c r="V236" s="4"/>
      <c r="W236" s="4"/>
      <c r="X236" s="4"/>
    </row>
    <row r="237" spans="1:24">
      <c r="A237" s="2"/>
      <c r="B237" s="2"/>
      <c r="C237" s="2"/>
      <c r="D237" s="3"/>
      <c r="E237" s="3"/>
      <c r="F237" s="3"/>
      <c r="G237" s="2"/>
      <c r="H237" s="2"/>
      <c r="I237" s="4"/>
      <c r="J237" s="4"/>
      <c r="K237" s="4"/>
      <c r="L237" s="21" t="str">
        <f t="shared" si="18"/>
        <v/>
      </c>
      <c r="M237" s="5" t="str">
        <f t="shared" ca="1" si="19"/>
        <v/>
      </c>
      <c r="N237" s="21" t="str">
        <f t="shared" ca="1" si="20"/>
        <v/>
      </c>
      <c r="O237" s="2" t="str">
        <f t="shared" si="21"/>
        <v/>
      </c>
      <c r="P237" s="17" t="str">
        <f t="shared" si="22"/>
        <v/>
      </c>
      <c r="Q237" s="20" t="str">
        <f t="shared" si="23"/>
        <v/>
      </c>
      <c r="R237" s="2"/>
      <c r="S237" s="6"/>
      <c r="T237" s="6"/>
      <c r="U237" s="22"/>
      <c r="V237" s="4"/>
      <c r="W237" s="4"/>
      <c r="X237" s="4"/>
    </row>
    <row r="238" spans="1:24">
      <c r="A238" s="2"/>
      <c r="B238" s="2"/>
      <c r="C238" s="2"/>
      <c r="D238" s="3"/>
      <c r="E238" s="3"/>
      <c r="F238" s="3"/>
      <c r="G238" s="2"/>
      <c r="H238" s="2"/>
      <c r="I238" s="4"/>
      <c r="J238" s="4"/>
      <c r="K238" s="4"/>
      <c r="L238" s="21" t="str">
        <f t="shared" si="18"/>
        <v/>
      </c>
      <c r="M238" s="5" t="str">
        <f t="shared" ca="1" si="19"/>
        <v/>
      </c>
      <c r="N238" s="21" t="str">
        <f t="shared" ca="1" si="20"/>
        <v/>
      </c>
      <c r="O238" s="2" t="str">
        <f t="shared" si="21"/>
        <v/>
      </c>
      <c r="P238" s="17" t="str">
        <f t="shared" si="22"/>
        <v/>
      </c>
      <c r="Q238" s="20" t="str">
        <f t="shared" si="23"/>
        <v/>
      </c>
      <c r="R238" s="2"/>
      <c r="S238" s="6"/>
      <c r="T238" s="6"/>
      <c r="U238" s="22"/>
      <c r="V238" s="4"/>
      <c r="W238" s="4"/>
      <c r="X238" s="4"/>
    </row>
    <row r="239" spans="1:24">
      <c r="A239" s="2"/>
      <c r="B239" s="2"/>
      <c r="C239" s="2"/>
      <c r="D239" s="3"/>
      <c r="E239" s="3"/>
      <c r="F239" s="3"/>
      <c r="G239" s="2"/>
      <c r="H239" s="2"/>
      <c r="I239" s="4"/>
      <c r="J239" s="4"/>
      <c r="K239" s="4"/>
      <c r="L239" s="21" t="str">
        <f t="shared" si="18"/>
        <v/>
      </c>
      <c r="M239" s="5" t="str">
        <f t="shared" ca="1" si="19"/>
        <v/>
      </c>
      <c r="N239" s="21" t="str">
        <f t="shared" ca="1" si="20"/>
        <v/>
      </c>
      <c r="O239" s="2" t="str">
        <f t="shared" si="21"/>
        <v/>
      </c>
      <c r="P239" s="17" t="str">
        <f t="shared" si="22"/>
        <v/>
      </c>
      <c r="Q239" s="20" t="str">
        <f t="shared" si="23"/>
        <v/>
      </c>
      <c r="R239" s="2"/>
      <c r="S239" s="6"/>
      <c r="T239" s="6"/>
      <c r="U239" s="22"/>
      <c r="V239" s="4"/>
      <c r="W239" s="4"/>
      <c r="X239" s="4"/>
    </row>
    <row r="240" spans="1:24">
      <c r="A240" s="2"/>
      <c r="B240" s="2"/>
      <c r="C240" s="2"/>
      <c r="D240" s="3"/>
      <c r="E240" s="3"/>
      <c r="F240" s="3"/>
      <c r="G240" s="2"/>
      <c r="H240" s="2"/>
      <c r="I240" s="4"/>
      <c r="J240" s="4"/>
      <c r="K240" s="4"/>
      <c r="L240" s="21" t="str">
        <f t="shared" si="18"/>
        <v/>
      </c>
      <c r="M240" s="5" t="str">
        <f t="shared" ca="1" si="19"/>
        <v/>
      </c>
      <c r="N240" s="21" t="str">
        <f t="shared" ca="1" si="20"/>
        <v/>
      </c>
      <c r="O240" s="2" t="str">
        <f t="shared" si="21"/>
        <v/>
      </c>
      <c r="P240" s="17" t="str">
        <f t="shared" si="22"/>
        <v/>
      </c>
      <c r="Q240" s="20" t="str">
        <f t="shared" si="23"/>
        <v/>
      </c>
      <c r="R240" s="2"/>
      <c r="S240" s="6"/>
      <c r="T240" s="6"/>
      <c r="U240" s="22"/>
      <c r="V240" s="4"/>
      <c r="W240" s="4"/>
      <c r="X240" s="4"/>
    </row>
    <row r="241" spans="1:24">
      <c r="A241" s="2"/>
      <c r="B241" s="2"/>
      <c r="C241" s="2"/>
      <c r="D241" s="3"/>
      <c r="E241" s="3"/>
      <c r="F241" s="3"/>
      <c r="G241" s="2"/>
      <c r="H241" s="2"/>
      <c r="I241" s="4"/>
      <c r="J241" s="4"/>
      <c r="K241" s="4"/>
      <c r="L241" s="21" t="str">
        <f t="shared" si="18"/>
        <v/>
      </c>
      <c r="M241" s="5" t="str">
        <f t="shared" ca="1" si="19"/>
        <v/>
      </c>
      <c r="N241" s="21" t="str">
        <f t="shared" ca="1" si="20"/>
        <v/>
      </c>
      <c r="O241" s="2" t="str">
        <f t="shared" si="21"/>
        <v/>
      </c>
      <c r="P241" s="17" t="str">
        <f t="shared" si="22"/>
        <v/>
      </c>
      <c r="Q241" s="20" t="str">
        <f t="shared" si="23"/>
        <v/>
      </c>
      <c r="R241" s="2"/>
      <c r="S241" s="6"/>
      <c r="T241" s="6"/>
      <c r="U241" s="22"/>
      <c r="V241" s="4"/>
      <c r="W241" s="4"/>
      <c r="X241" s="4"/>
    </row>
    <row r="242" spans="1:24">
      <c r="A242" s="2"/>
      <c r="B242" s="2"/>
      <c r="C242" s="2"/>
      <c r="D242" s="3"/>
      <c r="E242" s="3"/>
      <c r="F242" s="3"/>
      <c r="G242" s="2"/>
      <c r="H242" s="2"/>
      <c r="I242" s="4"/>
      <c r="J242" s="4"/>
      <c r="K242" s="4"/>
      <c r="L242" s="21" t="str">
        <f t="shared" si="18"/>
        <v/>
      </c>
      <c r="M242" s="5" t="str">
        <f t="shared" ca="1" si="19"/>
        <v/>
      </c>
      <c r="N242" s="21" t="str">
        <f t="shared" ca="1" si="20"/>
        <v/>
      </c>
      <c r="O242" s="2" t="str">
        <f t="shared" si="21"/>
        <v/>
      </c>
      <c r="P242" s="17" t="str">
        <f t="shared" si="22"/>
        <v/>
      </c>
      <c r="Q242" s="20" t="str">
        <f t="shared" si="23"/>
        <v/>
      </c>
      <c r="R242" s="2"/>
      <c r="S242" s="6"/>
      <c r="T242" s="6"/>
      <c r="U242" s="22"/>
      <c r="V242" s="4"/>
      <c r="W242" s="4"/>
      <c r="X242" s="4"/>
    </row>
    <row r="243" spans="1:24">
      <c r="A243" s="2"/>
      <c r="B243" s="2"/>
      <c r="C243" s="2"/>
      <c r="D243" s="3"/>
      <c r="E243" s="3"/>
      <c r="F243" s="3"/>
      <c r="G243" s="2"/>
      <c r="H243" s="2"/>
      <c r="I243" s="4"/>
      <c r="J243" s="4"/>
      <c r="K243" s="4"/>
      <c r="L243" s="21" t="str">
        <f t="shared" si="18"/>
        <v/>
      </c>
      <c r="M243" s="5" t="str">
        <f t="shared" ca="1" si="19"/>
        <v/>
      </c>
      <c r="N243" s="21" t="str">
        <f t="shared" ca="1" si="20"/>
        <v/>
      </c>
      <c r="O243" s="2" t="str">
        <f t="shared" si="21"/>
        <v/>
      </c>
      <c r="P243" s="17" t="str">
        <f t="shared" si="22"/>
        <v/>
      </c>
      <c r="Q243" s="20" t="str">
        <f t="shared" si="23"/>
        <v/>
      </c>
      <c r="R243" s="2"/>
      <c r="S243" s="6"/>
      <c r="T243" s="6"/>
      <c r="U243" s="22"/>
      <c r="V243" s="4"/>
      <c r="W243" s="4"/>
      <c r="X243" s="4"/>
    </row>
    <row r="244" spans="1:24">
      <c r="A244" s="2"/>
      <c r="B244" s="2"/>
      <c r="C244" s="2"/>
      <c r="D244" s="3"/>
      <c r="E244" s="3"/>
      <c r="F244" s="3"/>
      <c r="G244" s="2"/>
      <c r="H244" s="2"/>
      <c r="I244" s="4"/>
      <c r="J244" s="4"/>
      <c r="K244" s="4"/>
      <c r="L244" s="21" t="str">
        <f t="shared" si="18"/>
        <v/>
      </c>
      <c r="M244" s="5" t="str">
        <f t="shared" ca="1" si="19"/>
        <v/>
      </c>
      <c r="N244" s="21" t="str">
        <f t="shared" ca="1" si="20"/>
        <v/>
      </c>
      <c r="O244" s="2" t="str">
        <f t="shared" si="21"/>
        <v/>
      </c>
      <c r="P244" s="17" t="str">
        <f t="shared" si="22"/>
        <v/>
      </c>
      <c r="Q244" s="20" t="str">
        <f t="shared" si="23"/>
        <v/>
      </c>
      <c r="R244" s="2"/>
      <c r="S244" s="6"/>
      <c r="T244" s="6"/>
      <c r="U244" s="22"/>
      <c r="V244" s="4"/>
      <c r="W244" s="4"/>
      <c r="X244" s="4"/>
    </row>
    <row r="245" spans="1:24">
      <c r="A245" s="2"/>
      <c r="B245" s="2"/>
      <c r="C245" s="2"/>
      <c r="D245" s="3"/>
      <c r="E245" s="3"/>
      <c r="F245" s="3"/>
      <c r="G245" s="2"/>
      <c r="H245" s="2"/>
      <c r="I245" s="4"/>
      <c r="J245" s="4"/>
      <c r="K245" s="4"/>
      <c r="L245" s="21" t="str">
        <f t="shared" si="18"/>
        <v/>
      </c>
      <c r="M245" s="5" t="str">
        <f t="shared" ca="1" si="19"/>
        <v/>
      </c>
      <c r="N245" s="21" t="str">
        <f t="shared" ca="1" si="20"/>
        <v/>
      </c>
      <c r="O245" s="2" t="str">
        <f t="shared" si="21"/>
        <v/>
      </c>
      <c r="P245" s="17" t="str">
        <f t="shared" si="22"/>
        <v/>
      </c>
      <c r="Q245" s="20" t="str">
        <f t="shared" si="23"/>
        <v/>
      </c>
      <c r="R245" s="2"/>
      <c r="S245" s="6"/>
      <c r="T245" s="6"/>
      <c r="U245" s="22"/>
      <c r="V245" s="4"/>
      <c r="W245" s="4"/>
      <c r="X245" s="4"/>
    </row>
    <row r="246" spans="1:24">
      <c r="A246" s="2"/>
      <c r="B246" s="2"/>
      <c r="C246" s="2"/>
      <c r="D246" s="3"/>
      <c r="E246" s="3"/>
      <c r="F246" s="3"/>
      <c r="G246" s="2"/>
      <c r="H246" s="2"/>
      <c r="I246" s="4"/>
      <c r="J246" s="4"/>
      <c r="K246" s="4"/>
      <c r="L246" s="21" t="str">
        <f t="shared" si="18"/>
        <v/>
      </c>
      <c r="M246" s="5" t="str">
        <f t="shared" ca="1" si="19"/>
        <v/>
      </c>
      <c r="N246" s="21" t="str">
        <f t="shared" ca="1" si="20"/>
        <v/>
      </c>
      <c r="O246" s="2" t="str">
        <f t="shared" si="21"/>
        <v/>
      </c>
      <c r="P246" s="17" t="str">
        <f t="shared" si="22"/>
        <v/>
      </c>
      <c r="Q246" s="20" t="str">
        <f t="shared" si="23"/>
        <v/>
      </c>
      <c r="R246" s="2"/>
      <c r="S246" s="6"/>
      <c r="T246" s="6"/>
      <c r="U246" s="22"/>
      <c r="V246" s="4"/>
      <c r="W246" s="4"/>
      <c r="X246" s="4"/>
    </row>
    <row r="247" spans="1:24">
      <c r="A247" s="2"/>
      <c r="B247" s="2"/>
      <c r="C247" s="2"/>
      <c r="D247" s="3"/>
      <c r="E247" s="3"/>
      <c r="F247" s="3"/>
      <c r="G247" s="2"/>
      <c r="H247" s="2"/>
      <c r="I247" s="4"/>
      <c r="J247" s="4"/>
      <c r="K247" s="4"/>
      <c r="L247" s="21" t="str">
        <f t="shared" si="18"/>
        <v/>
      </c>
      <c r="M247" s="5" t="str">
        <f t="shared" ca="1" si="19"/>
        <v/>
      </c>
      <c r="N247" s="21" t="str">
        <f t="shared" ca="1" si="20"/>
        <v/>
      </c>
      <c r="O247" s="2" t="str">
        <f t="shared" si="21"/>
        <v/>
      </c>
      <c r="P247" s="17" t="str">
        <f t="shared" si="22"/>
        <v/>
      </c>
      <c r="Q247" s="20" t="str">
        <f t="shared" si="23"/>
        <v/>
      </c>
      <c r="R247" s="2"/>
      <c r="S247" s="6"/>
      <c r="T247" s="6"/>
      <c r="U247" s="22"/>
      <c r="V247" s="4"/>
      <c r="W247" s="4"/>
      <c r="X247" s="4"/>
    </row>
    <row r="248" spans="1:24">
      <c r="A248" s="2"/>
      <c r="B248" s="2"/>
      <c r="C248" s="2"/>
      <c r="D248" s="3"/>
      <c r="E248" s="3"/>
      <c r="F248" s="3"/>
      <c r="G248" s="2"/>
      <c r="H248" s="2"/>
      <c r="I248" s="4"/>
      <c r="J248" s="4"/>
      <c r="K248" s="4"/>
      <c r="L248" s="21" t="str">
        <f t="shared" si="18"/>
        <v/>
      </c>
      <c r="M248" s="5" t="str">
        <f t="shared" ca="1" si="19"/>
        <v/>
      </c>
      <c r="N248" s="21" t="str">
        <f t="shared" ca="1" si="20"/>
        <v/>
      </c>
      <c r="O248" s="2" t="str">
        <f t="shared" si="21"/>
        <v/>
      </c>
      <c r="P248" s="17" t="str">
        <f t="shared" si="22"/>
        <v/>
      </c>
      <c r="Q248" s="20" t="str">
        <f t="shared" si="23"/>
        <v/>
      </c>
      <c r="R248" s="2"/>
      <c r="S248" s="6"/>
      <c r="T248" s="6"/>
      <c r="U248" s="22"/>
      <c r="V248" s="4"/>
      <c r="W248" s="4"/>
      <c r="X248" s="4"/>
    </row>
    <row r="249" spans="1:24">
      <c r="A249" s="2"/>
      <c r="B249" s="2"/>
      <c r="C249" s="2"/>
      <c r="D249" s="3"/>
      <c r="E249" s="3"/>
      <c r="F249" s="3"/>
      <c r="G249" s="2"/>
      <c r="H249" s="2"/>
      <c r="I249" s="4"/>
      <c r="J249" s="4"/>
      <c r="K249" s="4"/>
      <c r="L249" s="21" t="str">
        <f t="shared" si="18"/>
        <v/>
      </c>
      <c r="M249" s="5" t="str">
        <f t="shared" ca="1" si="19"/>
        <v/>
      </c>
      <c r="N249" s="21" t="str">
        <f t="shared" ca="1" si="20"/>
        <v/>
      </c>
      <c r="O249" s="2" t="str">
        <f t="shared" si="21"/>
        <v/>
      </c>
      <c r="P249" s="17" t="str">
        <f t="shared" si="22"/>
        <v/>
      </c>
      <c r="Q249" s="20" t="str">
        <f t="shared" si="23"/>
        <v/>
      </c>
      <c r="R249" s="2"/>
      <c r="S249" s="6"/>
      <c r="T249" s="6"/>
      <c r="U249" s="22"/>
      <c r="V249" s="4"/>
      <c r="W249" s="4"/>
      <c r="X249" s="4"/>
    </row>
    <row r="250" spans="1:24">
      <c r="A250" s="2"/>
      <c r="B250" s="2"/>
      <c r="C250" s="2"/>
      <c r="D250" s="3"/>
      <c r="E250" s="3"/>
      <c r="F250" s="3"/>
      <c r="G250" s="2"/>
      <c r="H250" s="2"/>
      <c r="I250" s="4"/>
      <c r="J250" s="4"/>
      <c r="K250" s="4"/>
      <c r="L250" s="21" t="str">
        <f t="shared" si="18"/>
        <v/>
      </c>
      <c r="M250" s="5" t="str">
        <f t="shared" ca="1" si="19"/>
        <v/>
      </c>
      <c r="N250" s="21" t="str">
        <f t="shared" ca="1" si="20"/>
        <v/>
      </c>
      <c r="O250" s="2" t="str">
        <f t="shared" si="21"/>
        <v/>
      </c>
      <c r="P250" s="17" t="str">
        <f t="shared" si="22"/>
        <v/>
      </c>
      <c r="Q250" s="20" t="str">
        <f t="shared" si="23"/>
        <v/>
      </c>
      <c r="R250" s="2"/>
      <c r="S250" s="6"/>
      <c r="T250" s="6"/>
      <c r="U250" s="22"/>
      <c r="V250" s="4"/>
      <c r="W250" s="4"/>
      <c r="X250" s="4"/>
    </row>
    <row r="251" spans="1:24">
      <c r="A251" s="2"/>
      <c r="B251" s="2"/>
      <c r="C251" s="2"/>
      <c r="D251" s="3"/>
      <c r="E251" s="3"/>
      <c r="F251" s="3"/>
      <c r="G251" s="2"/>
      <c r="H251" s="2"/>
      <c r="I251" s="4"/>
      <c r="J251" s="4"/>
      <c r="K251" s="4"/>
      <c r="L251" s="21" t="str">
        <f t="shared" si="18"/>
        <v/>
      </c>
      <c r="M251" s="5" t="str">
        <f t="shared" ca="1" si="19"/>
        <v/>
      </c>
      <c r="N251" s="21" t="str">
        <f t="shared" ca="1" si="20"/>
        <v/>
      </c>
      <c r="O251" s="2" t="str">
        <f t="shared" si="21"/>
        <v/>
      </c>
      <c r="P251" s="17" t="str">
        <f t="shared" si="22"/>
        <v/>
      </c>
      <c r="Q251" s="20" t="str">
        <f t="shared" si="23"/>
        <v/>
      </c>
      <c r="R251" s="2"/>
      <c r="S251" s="6"/>
      <c r="T251" s="6"/>
      <c r="U251" s="22"/>
      <c r="V251" s="4"/>
      <c r="W251" s="4"/>
      <c r="X251" s="4"/>
    </row>
    <row r="252" spans="1:24">
      <c r="A252" s="2"/>
      <c r="B252" s="2"/>
      <c r="C252" s="2"/>
      <c r="D252" s="3"/>
      <c r="E252" s="3"/>
      <c r="F252" s="3"/>
      <c r="G252" s="2"/>
      <c r="H252" s="2"/>
      <c r="I252" s="4"/>
      <c r="J252" s="4"/>
      <c r="K252" s="4"/>
      <c r="L252" s="21" t="str">
        <f t="shared" si="18"/>
        <v/>
      </c>
      <c r="M252" s="5" t="str">
        <f t="shared" ca="1" si="19"/>
        <v/>
      </c>
      <c r="N252" s="21" t="str">
        <f t="shared" ca="1" si="20"/>
        <v/>
      </c>
      <c r="O252" s="2" t="str">
        <f t="shared" si="21"/>
        <v/>
      </c>
      <c r="P252" s="17" t="str">
        <f t="shared" si="22"/>
        <v/>
      </c>
      <c r="Q252" s="20" t="str">
        <f t="shared" si="23"/>
        <v/>
      </c>
      <c r="R252" s="2"/>
      <c r="S252" s="6"/>
      <c r="T252" s="6"/>
      <c r="U252" s="22"/>
      <c r="V252" s="4"/>
      <c r="W252" s="4"/>
      <c r="X252" s="4"/>
    </row>
    <row r="253" spans="1:24">
      <c r="A253" s="2"/>
      <c r="B253" s="2"/>
      <c r="C253" s="2"/>
      <c r="D253" s="3"/>
      <c r="E253" s="3"/>
      <c r="F253" s="3"/>
      <c r="G253" s="2"/>
      <c r="H253" s="2"/>
      <c r="I253" s="4"/>
      <c r="J253" s="4"/>
      <c r="K253" s="4"/>
      <c r="L253" s="21" t="str">
        <f t="shared" si="18"/>
        <v/>
      </c>
      <c r="M253" s="5" t="str">
        <f t="shared" ca="1" si="19"/>
        <v/>
      </c>
      <c r="N253" s="21" t="str">
        <f t="shared" ca="1" si="20"/>
        <v/>
      </c>
      <c r="O253" s="2" t="str">
        <f t="shared" si="21"/>
        <v/>
      </c>
      <c r="P253" s="17" t="str">
        <f t="shared" si="22"/>
        <v/>
      </c>
      <c r="Q253" s="20" t="str">
        <f t="shared" si="23"/>
        <v/>
      </c>
      <c r="R253" s="2"/>
      <c r="S253" s="6"/>
      <c r="T253" s="6"/>
      <c r="U253" s="22"/>
      <c r="V253" s="4"/>
      <c r="W253" s="4"/>
      <c r="X253" s="4"/>
    </row>
    <row r="254" spans="1:24">
      <c r="A254" s="2"/>
      <c r="B254" s="2"/>
      <c r="C254" s="2"/>
      <c r="D254" s="3"/>
      <c r="E254" s="3"/>
      <c r="F254" s="3"/>
      <c r="G254" s="2"/>
      <c r="H254" s="2"/>
      <c r="I254" s="4"/>
      <c r="J254" s="4"/>
      <c r="K254" s="4"/>
      <c r="L254" s="21" t="str">
        <f t="shared" si="18"/>
        <v/>
      </c>
      <c r="M254" s="5" t="str">
        <f t="shared" ca="1" si="19"/>
        <v/>
      </c>
      <c r="N254" s="21" t="str">
        <f t="shared" ca="1" si="20"/>
        <v/>
      </c>
      <c r="O254" s="2" t="str">
        <f t="shared" si="21"/>
        <v/>
      </c>
      <c r="P254" s="17" t="str">
        <f t="shared" si="22"/>
        <v/>
      </c>
      <c r="Q254" s="20" t="str">
        <f t="shared" si="23"/>
        <v/>
      </c>
      <c r="R254" s="2"/>
      <c r="S254" s="6"/>
      <c r="T254" s="6"/>
      <c r="U254" s="22"/>
      <c r="V254" s="4"/>
      <c r="W254" s="4"/>
      <c r="X254" s="4"/>
    </row>
    <row r="255" spans="1:24">
      <c r="A255" s="2"/>
      <c r="B255" s="2"/>
      <c r="C255" s="2"/>
      <c r="D255" s="3"/>
      <c r="E255" s="3"/>
      <c r="F255" s="3"/>
      <c r="G255" s="2"/>
      <c r="H255" s="2"/>
      <c r="I255" s="4"/>
      <c r="J255" s="4"/>
      <c r="K255" s="4"/>
      <c r="L255" s="21" t="str">
        <f t="shared" si="18"/>
        <v/>
      </c>
      <c r="M255" s="5" t="str">
        <f t="shared" ca="1" si="19"/>
        <v/>
      </c>
      <c r="N255" s="21" t="str">
        <f t="shared" ca="1" si="20"/>
        <v/>
      </c>
      <c r="O255" s="2" t="str">
        <f t="shared" si="21"/>
        <v/>
      </c>
      <c r="P255" s="17" t="str">
        <f t="shared" si="22"/>
        <v/>
      </c>
      <c r="Q255" s="20" t="str">
        <f t="shared" si="23"/>
        <v/>
      </c>
      <c r="R255" s="2"/>
      <c r="S255" s="6"/>
      <c r="T255" s="6"/>
      <c r="U255" s="22"/>
      <c r="V255" s="4"/>
      <c r="W255" s="4"/>
      <c r="X255" s="4"/>
    </row>
    <row r="256" spans="1:24">
      <c r="A256" s="2"/>
      <c r="B256" s="2"/>
      <c r="C256" s="2"/>
      <c r="D256" s="3"/>
      <c r="E256" s="3"/>
      <c r="F256" s="3"/>
      <c r="G256" s="2"/>
      <c r="H256" s="2"/>
      <c r="I256" s="4"/>
      <c r="J256" s="4"/>
      <c r="K256" s="4"/>
      <c r="L256" s="21" t="str">
        <f t="shared" si="18"/>
        <v/>
      </c>
      <c r="M256" s="5" t="str">
        <f t="shared" ca="1" si="19"/>
        <v/>
      </c>
      <c r="N256" s="21" t="str">
        <f t="shared" ca="1" si="20"/>
        <v/>
      </c>
      <c r="O256" s="2" t="str">
        <f t="shared" si="21"/>
        <v/>
      </c>
      <c r="P256" s="17" t="str">
        <f t="shared" si="22"/>
        <v/>
      </c>
      <c r="Q256" s="20" t="str">
        <f t="shared" si="23"/>
        <v/>
      </c>
      <c r="R256" s="2"/>
      <c r="S256" s="6"/>
      <c r="T256" s="6"/>
      <c r="U256" s="22"/>
      <c r="V256" s="4"/>
      <c r="W256" s="4"/>
      <c r="X256" s="4"/>
    </row>
    <row r="257" spans="1:24">
      <c r="A257" s="2"/>
      <c r="B257" s="2"/>
      <c r="C257" s="2"/>
      <c r="D257" s="3"/>
      <c r="E257" s="3"/>
      <c r="F257" s="3"/>
      <c r="G257" s="2"/>
      <c r="H257" s="2"/>
      <c r="I257" s="4"/>
      <c r="J257" s="4"/>
      <c r="K257" s="4"/>
      <c r="L257" s="21" t="str">
        <f t="shared" si="18"/>
        <v/>
      </c>
      <c r="M257" s="5" t="str">
        <f t="shared" ca="1" si="19"/>
        <v/>
      </c>
      <c r="N257" s="21" t="str">
        <f t="shared" ca="1" si="20"/>
        <v/>
      </c>
      <c r="O257" s="2" t="str">
        <f t="shared" si="21"/>
        <v/>
      </c>
      <c r="P257" s="17" t="str">
        <f t="shared" si="22"/>
        <v/>
      </c>
      <c r="Q257" s="20" t="str">
        <f t="shared" si="23"/>
        <v/>
      </c>
      <c r="R257" s="2"/>
      <c r="S257" s="6"/>
      <c r="T257" s="6"/>
      <c r="U257" s="22"/>
      <c r="V257" s="4"/>
      <c r="W257" s="4"/>
      <c r="X257" s="4"/>
    </row>
    <row r="258" spans="1:24">
      <c r="A258" s="2"/>
      <c r="B258" s="2"/>
      <c r="C258" s="2"/>
      <c r="D258" s="3"/>
      <c r="E258" s="3"/>
      <c r="F258" s="3"/>
      <c r="G258" s="2"/>
      <c r="H258" s="2"/>
      <c r="I258" s="4"/>
      <c r="J258" s="4"/>
      <c r="K258" s="4"/>
      <c r="L258" s="21" t="str">
        <f t="shared" ref="L258:L321" si="24">IF(A258="","",IF(OR(J258="",K258=""),"",MAX(1,K258-J258+1)))</f>
        <v/>
      </c>
      <c r="M258" s="5" t="str">
        <f t="shared" ref="M258:M301" ca="1" si="25">IF(A258="","",IF(B258="PROCESO",IF(COUNTIF($C$2:$C$301,A258)=0,0,SUMIF($C$2:$C$301,A258,$M$2:$M$301)/COUNTIF($C$2:$C$301,A258)),IF(OR(I258="Terminada",I258="Completada"),1,IF(OR(I258="No iniciada",I258="Cancelada"),0,IF(OR(J258="",K258=""),0,MIN(0.99,MAX(0,(TODAY()-J258+1)/MAX(1,K258-J258+1))))))))</f>
        <v/>
      </c>
      <c r="N258" s="21" t="str">
        <f t="shared" ref="N258:N301" ca="1" si="26">IF(A258="","",IF(K258="","",IF(OR(I258="Terminada",I258="Completada"),0,K258-TODAY())))</f>
        <v/>
      </c>
      <c r="O258" s="2" t="str">
        <f t="shared" ref="O258:O321" si="27">IF(A258="","",IF(B258="PROCESO",IF(COUNTIF($C$2:$C$301,A258)=0,"SIN ETAPAS",IF(M258=1,"TERMINADO",IF(N258&lt;0,"ATRASADO",IF(N258&lt;=3,"URGENTE",IF(N258&lt;=7,"PROXIMO","SIN ALERTA"))))),IF(OR(I258="Terminada",I258="Completada"),"TERMINADA",IF(I258="Bloqueada","BLOQUEADA",IF(N258&lt;0,"ATRASADA",IF(N258&lt;=3,"URGENTE",IF(N258&lt;=7,"PROXIMA","SIN ALERTA")))))))</f>
        <v/>
      </c>
      <c r="P258" s="17" t="str">
        <f t="shared" ref="P258:P301" si="28">IF(A258="","",IF(OR(I258="Terminada",I258="Completada"),"VERDE",IF(I258="Bloqueada","ROJO",IF(N258&lt;0,"ROJO",IF(N258&lt;=3,"ROJO",IF(N258&lt;=7,"AMARILLO","VERDE"))))))</f>
        <v/>
      </c>
      <c r="Q258" s="20" t="str">
        <f t="shared" ref="Q258:Q301" si="29">IF(A258="","",IF(OR(B258&lt;&gt;"ETAPA",C258=""),"",1/COUNTIF($C$2:$C$301,C258)))</f>
        <v/>
      </c>
      <c r="R258" s="2"/>
      <c r="S258" s="6"/>
      <c r="T258" s="6"/>
      <c r="U258" s="22"/>
      <c r="V258" s="4"/>
      <c r="W258" s="4"/>
      <c r="X258" s="4"/>
    </row>
    <row r="259" spans="1:24">
      <c r="A259" s="2"/>
      <c r="B259" s="2"/>
      <c r="C259" s="2"/>
      <c r="D259" s="3"/>
      <c r="E259" s="3"/>
      <c r="F259" s="3"/>
      <c r="G259" s="2"/>
      <c r="H259" s="2"/>
      <c r="I259" s="4"/>
      <c r="J259" s="4"/>
      <c r="K259" s="4"/>
      <c r="L259" s="21" t="str">
        <f t="shared" si="24"/>
        <v/>
      </c>
      <c r="M259" s="5" t="str">
        <f t="shared" ca="1" si="25"/>
        <v/>
      </c>
      <c r="N259" s="21" t="str">
        <f t="shared" ca="1" si="26"/>
        <v/>
      </c>
      <c r="O259" s="2" t="str">
        <f t="shared" si="27"/>
        <v/>
      </c>
      <c r="P259" s="17" t="str">
        <f t="shared" si="28"/>
        <v/>
      </c>
      <c r="Q259" s="20" t="str">
        <f t="shared" si="29"/>
        <v/>
      </c>
      <c r="R259" s="2"/>
      <c r="S259" s="6"/>
      <c r="T259" s="6"/>
      <c r="U259" s="22"/>
      <c r="V259" s="4"/>
      <c r="W259" s="4"/>
      <c r="X259" s="4"/>
    </row>
    <row r="260" spans="1:24">
      <c r="A260" s="2"/>
      <c r="B260" s="2"/>
      <c r="C260" s="2"/>
      <c r="D260" s="3"/>
      <c r="E260" s="3"/>
      <c r="F260" s="3"/>
      <c r="G260" s="2"/>
      <c r="H260" s="2"/>
      <c r="I260" s="4"/>
      <c r="J260" s="4"/>
      <c r="K260" s="4"/>
      <c r="L260" s="21" t="str">
        <f t="shared" si="24"/>
        <v/>
      </c>
      <c r="M260" s="5" t="str">
        <f t="shared" ca="1" si="25"/>
        <v/>
      </c>
      <c r="N260" s="21" t="str">
        <f t="shared" ca="1" si="26"/>
        <v/>
      </c>
      <c r="O260" s="2" t="str">
        <f t="shared" si="27"/>
        <v/>
      </c>
      <c r="P260" s="17" t="str">
        <f t="shared" si="28"/>
        <v/>
      </c>
      <c r="Q260" s="20" t="str">
        <f t="shared" si="29"/>
        <v/>
      </c>
      <c r="R260" s="2"/>
      <c r="S260" s="6"/>
      <c r="T260" s="6"/>
      <c r="U260" s="22"/>
      <c r="V260" s="4"/>
      <c r="W260" s="4"/>
      <c r="X260" s="4"/>
    </row>
    <row r="261" spans="1:24">
      <c r="A261" s="2"/>
      <c r="B261" s="2"/>
      <c r="C261" s="2"/>
      <c r="D261" s="3"/>
      <c r="E261" s="3"/>
      <c r="F261" s="3"/>
      <c r="G261" s="2"/>
      <c r="H261" s="2"/>
      <c r="I261" s="4"/>
      <c r="J261" s="4"/>
      <c r="K261" s="4"/>
      <c r="L261" s="21" t="str">
        <f t="shared" si="24"/>
        <v/>
      </c>
      <c r="M261" s="5" t="str">
        <f t="shared" ca="1" si="25"/>
        <v/>
      </c>
      <c r="N261" s="21" t="str">
        <f t="shared" ca="1" si="26"/>
        <v/>
      </c>
      <c r="O261" s="2" t="str">
        <f t="shared" si="27"/>
        <v/>
      </c>
      <c r="P261" s="17" t="str">
        <f t="shared" si="28"/>
        <v/>
      </c>
      <c r="Q261" s="20" t="str">
        <f t="shared" si="29"/>
        <v/>
      </c>
      <c r="R261" s="2"/>
      <c r="S261" s="6"/>
      <c r="T261" s="6"/>
      <c r="U261" s="22"/>
      <c r="V261" s="4"/>
      <c r="W261" s="4"/>
      <c r="X261" s="4"/>
    </row>
    <row r="262" spans="1:24">
      <c r="A262" s="2"/>
      <c r="B262" s="2"/>
      <c r="C262" s="2"/>
      <c r="D262" s="3"/>
      <c r="E262" s="3"/>
      <c r="F262" s="3"/>
      <c r="G262" s="2"/>
      <c r="H262" s="2"/>
      <c r="I262" s="4"/>
      <c r="J262" s="4"/>
      <c r="K262" s="4"/>
      <c r="L262" s="21" t="str">
        <f t="shared" si="24"/>
        <v/>
      </c>
      <c r="M262" s="5" t="str">
        <f t="shared" ca="1" si="25"/>
        <v/>
      </c>
      <c r="N262" s="21" t="str">
        <f t="shared" ca="1" si="26"/>
        <v/>
      </c>
      <c r="O262" s="2" t="str">
        <f t="shared" si="27"/>
        <v/>
      </c>
      <c r="P262" s="17" t="str">
        <f t="shared" si="28"/>
        <v/>
      </c>
      <c r="Q262" s="20" t="str">
        <f t="shared" si="29"/>
        <v/>
      </c>
      <c r="R262" s="2"/>
      <c r="S262" s="6"/>
      <c r="T262" s="6"/>
      <c r="U262" s="22"/>
      <c r="V262" s="4"/>
      <c r="W262" s="4"/>
      <c r="X262" s="4"/>
    </row>
    <row r="263" spans="1:24">
      <c r="A263" s="2"/>
      <c r="B263" s="2"/>
      <c r="C263" s="2"/>
      <c r="D263" s="3"/>
      <c r="E263" s="3"/>
      <c r="F263" s="3"/>
      <c r="G263" s="2"/>
      <c r="H263" s="2"/>
      <c r="I263" s="4"/>
      <c r="J263" s="4"/>
      <c r="K263" s="4"/>
      <c r="L263" s="21" t="str">
        <f t="shared" si="24"/>
        <v/>
      </c>
      <c r="M263" s="5" t="str">
        <f t="shared" ca="1" si="25"/>
        <v/>
      </c>
      <c r="N263" s="21" t="str">
        <f t="shared" ca="1" si="26"/>
        <v/>
      </c>
      <c r="O263" s="2" t="str">
        <f t="shared" si="27"/>
        <v/>
      </c>
      <c r="P263" s="17" t="str">
        <f t="shared" si="28"/>
        <v/>
      </c>
      <c r="Q263" s="20" t="str">
        <f t="shared" si="29"/>
        <v/>
      </c>
      <c r="R263" s="2"/>
      <c r="S263" s="6"/>
      <c r="T263" s="6"/>
      <c r="U263" s="22"/>
      <c r="V263" s="4"/>
      <c r="W263" s="4"/>
      <c r="X263" s="4"/>
    </row>
    <row r="264" spans="1:24">
      <c r="A264" s="2"/>
      <c r="B264" s="2"/>
      <c r="C264" s="2"/>
      <c r="D264" s="3"/>
      <c r="E264" s="3"/>
      <c r="F264" s="3"/>
      <c r="G264" s="2"/>
      <c r="H264" s="2"/>
      <c r="I264" s="4"/>
      <c r="J264" s="4"/>
      <c r="K264" s="4"/>
      <c r="L264" s="21" t="str">
        <f t="shared" si="24"/>
        <v/>
      </c>
      <c r="M264" s="5" t="str">
        <f t="shared" ca="1" si="25"/>
        <v/>
      </c>
      <c r="N264" s="21" t="str">
        <f t="shared" ca="1" si="26"/>
        <v/>
      </c>
      <c r="O264" s="2" t="str">
        <f t="shared" si="27"/>
        <v/>
      </c>
      <c r="P264" s="17" t="str">
        <f t="shared" si="28"/>
        <v/>
      </c>
      <c r="Q264" s="20" t="str">
        <f t="shared" si="29"/>
        <v/>
      </c>
      <c r="R264" s="2"/>
      <c r="S264" s="6"/>
      <c r="T264" s="6"/>
      <c r="U264" s="22"/>
      <c r="V264" s="4"/>
      <c r="W264" s="4"/>
      <c r="X264" s="4"/>
    </row>
    <row r="265" spans="1:24">
      <c r="A265" s="2"/>
      <c r="B265" s="2"/>
      <c r="C265" s="2"/>
      <c r="D265" s="3"/>
      <c r="E265" s="3"/>
      <c r="F265" s="3"/>
      <c r="G265" s="2"/>
      <c r="H265" s="2"/>
      <c r="I265" s="4"/>
      <c r="J265" s="4"/>
      <c r="K265" s="4"/>
      <c r="L265" s="21" t="str">
        <f t="shared" si="24"/>
        <v/>
      </c>
      <c r="M265" s="5" t="str">
        <f t="shared" ca="1" si="25"/>
        <v/>
      </c>
      <c r="N265" s="21" t="str">
        <f t="shared" ca="1" si="26"/>
        <v/>
      </c>
      <c r="O265" s="2" t="str">
        <f t="shared" si="27"/>
        <v/>
      </c>
      <c r="P265" s="17" t="str">
        <f t="shared" si="28"/>
        <v/>
      </c>
      <c r="Q265" s="20" t="str">
        <f t="shared" si="29"/>
        <v/>
      </c>
      <c r="R265" s="2"/>
      <c r="S265" s="6"/>
      <c r="T265" s="6"/>
      <c r="U265" s="22"/>
      <c r="V265" s="4"/>
      <c r="W265" s="4"/>
      <c r="X265" s="4"/>
    </row>
    <row r="266" spans="1:24">
      <c r="A266" s="2"/>
      <c r="B266" s="2"/>
      <c r="C266" s="2"/>
      <c r="D266" s="3"/>
      <c r="E266" s="3"/>
      <c r="F266" s="3"/>
      <c r="G266" s="2"/>
      <c r="H266" s="2"/>
      <c r="I266" s="4"/>
      <c r="J266" s="4"/>
      <c r="K266" s="4"/>
      <c r="L266" s="21" t="str">
        <f t="shared" si="24"/>
        <v/>
      </c>
      <c r="M266" s="5" t="str">
        <f t="shared" ca="1" si="25"/>
        <v/>
      </c>
      <c r="N266" s="21" t="str">
        <f t="shared" ca="1" si="26"/>
        <v/>
      </c>
      <c r="O266" s="2" t="str">
        <f t="shared" si="27"/>
        <v/>
      </c>
      <c r="P266" s="17" t="str">
        <f t="shared" si="28"/>
        <v/>
      </c>
      <c r="Q266" s="20" t="str">
        <f t="shared" si="29"/>
        <v/>
      </c>
      <c r="R266" s="2"/>
      <c r="S266" s="6"/>
      <c r="T266" s="6"/>
      <c r="U266" s="22"/>
      <c r="V266" s="4"/>
      <c r="W266" s="4"/>
      <c r="X266" s="4"/>
    </row>
    <row r="267" spans="1:24">
      <c r="A267" s="2"/>
      <c r="B267" s="2"/>
      <c r="C267" s="2"/>
      <c r="D267" s="3"/>
      <c r="E267" s="3"/>
      <c r="F267" s="3"/>
      <c r="G267" s="2"/>
      <c r="H267" s="2"/>
      <c r="I267" s="4"/>
      <c r="J267" s="4"/>
      <c r="K267" s="4"/>
      <c r="L267" s="21" t="str">
        <f t="shared" si="24"/>
        <v/>
      </c>
      <c r="M267" s="5" t="str">
        <f t="shared" ca="1" si="25"/>
        <v/>
      </c>
      <c r="N267" s="21" t="str">
        <f t="shared" ca="1" si="26"/>
        <v/>
      </c>
      <c r="O267" s="2" t="str">
        <f t="shared" si="27"/>
        <v/>
      </c>
      <c r="P267" s="17" t="str">
        <f t="shared" si="28"/>
        <v/>
      </c>
      <c r="Q267" s="20" t="str">
        <f t="shared" si="29"/>
        <v/>
      </c>
      <c r="R267" s="2"/>
      <c r="S267" s="6"/>
      <c r="T267" s="6"/>
      <c r="U267" s="22"/>
      <c r="V267" s="4"/>
      <c r="W267" s="4"/>
      <c r="X267" s="4"/>
    </row>
    <row r="268" spans="1:24">
      <c r="A268" s="2"/>
      <c r="B268" s="2"/>
      <c r="C268" s="2"/>
      <c r="D268" s="3"/>
      <c r="E268" s="3"/>
      <c r="F268" s="3"/>
      <c r="G268" s="2"/>
      <c r="H268" s="2"/>
      <c r="I268" s="4"/>
      <c r="J268" s="4"/>
      <c r="K268" s="4"/>
      <c r="L268" s="21" t="str">
        <f t="shared" si="24"/>
        <v/>
      </c>
      <c r="M268" s="5" t="str">
        <f t="shared" ca="1" si="25"/>
        <v/>
      </c>
      <c r="N268" s="21" t="str">
        <f t="shared" ca="1" si="26"/>
        <v/>
      </c>
      <c r="O268" s="2" t="str">
        <f t="shared" si="27"/>
        <v/>
      </c>
      <c r="P268" s="17" t="str">
        <f t="shared" si="28"/>
        <v/>
      </c>
      <c r="Q268" s="20" t="str">
        <f t="shared" si="29"/>
        <v/>
      </c>
      <c r="R268" s="2"/>
      <c r="S268" s="6"/>
      <c r="T268" s="6"/>
      <c r="U268" s="22"/>
      <c r="V268" s="4"/>
      <c r="W268" s="4"/>
      <c r="X268" s="4"/>
    </row>
    <row r="269" spans="1:24">
      <c r="A269" s="2"/>
      <c r="B269" s="2"/>
      <c r="C269" s="2"/>
      <c r="D269" s="3"/>
      <c r="E269" s="3"/>
      <c r="F269" s="3"/>
      <c r="G269" s="2"/>
      <c r="H269" s="2"/>
      <c r="I269" s="4"/>
      <c r="J269" s="4"/>
      <c r="K269" s="4"/>
      <c r="L269" s="21" t="str">
        <f t="shared" si="24"/>
        <v/>
      </c>
      <c r="M269" s="5" t="str">
        <f t="shared" ca="1" si="25"/>
        <v/>
      </c>
      <c r="N269" s="21" t="str">
        <f t="shared" ca="1" si="26"/>
        <v/>
      </c>
      <c r="O269" s="2" t="str">
        <f t="shared" si="27"/>
        <v/>
      </c>
      <c r="P269" s="17" t="str">
        <f t="shared" si="28"/>
        <v/>
      </c>
      <c r="Q269" s="20" t="str">
        <f t="shared" si="29"/>
        <v/>
      </c>
      <c r="R269" s="2"/>
      <c r="S269" s="6"/>
      <c r="T269" s="6"/>
      <c r="U269" s="22"/>
      <c r="V269" s="4"/>
      <c r="W269" s="4"/>
      <c r="X269" s="4"/>
    </row>
    <row r="270" spans="1:24">
      <c r="A270" s="2"/>
      <c r="B270" s="2"/>
      <c r="C270" s="2"/>
      <c r="D270" s="3"/>
      <c r="E270" s="3"/>
      <c r="F270" s="3"/>
      <c r="G270" s="2"/>
      <c r="H270" s="2"/>
      <c r="I270" s="4"/>
      <c r="J270" s="4"/>
      <c r="K270" s="4"/>
      <c r="L270" s="21" t="str">
        <f t="shared" si="24"/>
        <v/>
      </c>
      <c r="M270" s="5" t="str">
        <f t="shared" ca="1" si="25"/>
        <v/>
      </c>
      <c r="N270" s="21" t="str">
        <f t="shared" ca="1" si="26"/>
        <v/>
      </c>
      <c r="O270" s="2" t="str">
        <f t="shared" si="27"/>
        <v/>
      </c>
      <c r="P270" s="17" t="str">
        <f t="shared" si="28"/>
        <v/>
      </c>
      <c r="Q270" s="20" t="str">
        <f t="shared" si="29"/>
        <v/>
      </c>
      <c r="R270" s="2"/>
      <c r="S270" s="6"/>
      <c r="T270" s="6"/>
      <c r="U270" s="22"/>
      <c r="V270" s="4"/>
      <c r="W270" s="4"/>
      <c r="X270" s="4"/>
    </row>
    <row r="271" spans="1:24">
      <c r="A271" s="2"/>
      <c r="B271" s="2"/>
      <c r="C271" s="2"/>
      <c r="D271" s="3"/>
      <c r="E271" s="3"/>
      <c r="F271" s="3"/>
      <c r="G271" s="2"/>
      <c r="H271" s="2"/>
      <c r="I271" s="4"/>
      <c r="J271" s="4"/>
      <c r="K271" s="4"/>
      <c r="L271" s="21" t="str">
        <f t="shared" si="24"/>
        <v/>
      </c>
      <c r="M271" s="5" t="str">
        <f t="shared" ca="1" si="25"/>
        <v/>
      </c>
      <c r="N271" s="21" t="str">
        <f t="shared" ca="1" si="26"/>
        <v/>
      </c>
      <c r="O271" s="2" t="str">
        <f t="shared" si="27"/>
        <v/>
      </c>
      <c r="P271" s="17" t="str">
        <f t="shared" si="28"/>
        <v/>
      </c>
      <c r="Q271" s="20" t="str">
        <f t="shared" si="29"/>
        <v/>
      </c>
      <c r="R271" s="2"/>
      <c r="S271" s="6"/>
      <c r="T271" s="6"/>
      <c r="U271" s="22"/>
      <c r="V271" s="4"/>
      <c r="W271" s="4"/>
      <c r="X271" s="4"/>
    </row>
    <row r="272" spans="1:24">
      <c r="A272" s="2"/>
      <c r="B272" s="2"/>
      <c r="C272" s="2"/>
      <c r="D272" s="3"/>
      <c r="E272" s="3"/>
      <c r="F272" s="3"/>
      <c r="G272" s="2"/>
      <c r="H272" s="2"/>
      <c r="I272" s="4"/>
      <c r="J272" s="4"/>
      <c r="K272" s="4"/>
      <c r="L272" s="21" t="str">
        <f t="shared" si="24"/>
        <v/>
      </c>
      <c r="M272" s="5" t="str">
        <f t="shared" ca="1" si="25"/>
        <v/>
      </c>
      <c r="N272" s="21" t="str">
        <f t="shared" ca="1" si="26"/>
        <v/>
      </c>
      <c r="O272" s="2" t="str">
        <f t="shared" si="27"/>
        <v/>
      </c>
      <c r="P272" s="17" t="str">
        <f t="shared" si="28"/>
        <v/>
      </c>
      <c r="Q272" s="20" t="str">
        <f t="shared" si="29"/>
        <v/>
      </c>
      <c r="R272" s="2"/>
      <c r="S272" s="6"/>
      <c r="T272" s="6"/>
      <c r="U272" s="22"/>
      <c r="V272" s="4"/>
      <c r="W272" s="4"/>
      <c r="X272" s="4"/>
    </row>
    <row r="273" spans="1:24">
      <c r="A273" s="2"/>
      <c r="B273" s="2"/>
      <c r="C273" s="2"/>
      <c r="D273" s="3"/>
      <c r="E273" s="3"/>
      <c r="F273" s="3"/>
      <c r="G273" s="2"/>
      <c r="H273" s="2"/>
      <c r="I273" s="4"/>
      <c r="J273" s="4"/>
      <c r="K273" s="4"/>
      <c r="L273" s="21" t="str">
        <f t="shared" si="24"/>
        <v/>
      </c>
      <c r="M273" s="5" t="str">
        <f t="shared" ca="1" si="25"/>
        <v/>
      </c>
      <c r="N273" s="21" t="str">
        <f t="shared" ca="1" si="26"/>
        <v/>
      </c>
      <c r="O273" s="2" t="str">
        <f t="shared" si="27"/>
        <v/>
      </c>
      <c r="P273" s="17" t="str">
        <f t="shared" si="28"/>
        <v/>
      </c>
      <c r="Q273" s="20" t="str">
        <f t="shared" si="29"/>
        <v/>
      </c>
      <c r="R273" s="2"/>
      <c r="S273" s="6"/>
      <c r="T273" s="6"/>
      <c r="U273" s="22"/>
      <c r="V273" s="4"/>
      <c r="W273" s="4"/>
      <c r="X273" s="4"/>
    </row>
    <row r="274" spans="1:24">
      <c r="A274" s="2"/>
      <c r="B274" s="2"/>
      <c r="C274" s="2"/>
      <c r="D274" s="3"/>
      <c r="E274" s="3"/>
      <c r="F274" s="3"/>
      <c r="G274" s="2"/>
      <c r="H274" s="2"/>
      <c r="I274" s="4"/>
      <c r="J274" s="4"/>
      <c r="K274" s="4"/>
      <c r="L274" s="21" t="str">
        <f t="shared" si="24"/>
        <v/>
      </c>
      <c r="M274" s="5" t="str">
        <f t="shared" ca="1" si="25"/>
        <v/>
      </c>
      <c r="N274" s="21" t="str">
        <f t="shared" ca="1" si="26"/>
        <v/>
      </c>
      <c r="O274" s="2" t="str">
        <f t="shared" si="27"/>
        <v/>
      </c>
      <c r="P274" s="17" t="str">
        <f t="shared" si="28"/>
        <v/>
      </c>
      <c r="Q274" s="20" t="str">
        <f t="shared" si="29"/>
        <v/>
      </c>
      <c r="R274" s="2"/>
      <c r="S274" s="6"/>
      <c r="T274" s="6"/>
      <c r="U274" s="22"/>
      <c r="V274" s="4"/>
      <c r="W274" s="4"/>
      <c r="X274" s="4"/>
    </row>
    <row r="275" spans="1:24">
      <c r="A275" s="2"/>
      <c r="B275" s="2"/>
      <c r="C275" s="2"/>
      <c r="D275" s="3"/>
      <c r="E275" s="3"/>
      <c r="F275" s="3"/>
      <c r="G275" s="2"/>
      <c r="H275" s="2"/>
      <c r="I275" s="4"/>
      <c r="J275" s="4"/>
      <c r="K275" s="4"/>
      <c r="L275" s="21" t="str">
        <f t="shared" si="24"/>
        <v/>
      </c>
      <c r="M275" s="5" t="str">
        <f t="shared" ca="1" si="25"/>
        <v/>
      </c>
      <c r="N275" s="21" t="str">
        <f t="shared" ca="1" si="26"/>
        <v/>
      </c>
      <c r="O275" s="2" t="str">
        <f t="shared" si="27"/>
        <v/>
      </c>
      <c r="P275" s="17" t="str">
        <f t="shared" si="28"/>
        <v/>
      </c>
      <c r="Q275" s="20" t="str">
        <f t="shared" si="29"/>
        <v/>
      </c>
      <c r="R275" s="2"/>
      <c r="S275" s="6"/>
      <c r="T275" s="6"/>
      <c r="U275" s="22"/>
      <c r="V275" s="4"/>
      <c r="W275" s="4"/>
      <c r="X275" s="4"/>
    </row>
    <row r="276" spans="1:24">
      <c r="A276" s="2"/>
      <c r="B276" s="2"/>
      <c r="C276" s="2"/>
      <c r="D276" s="3"/>
      <c r="E276" s="3"/>
      <c r="F276" s="3"/>
      <c r="G276" s="2"/>
      <c r="H276" s="2"/>
      <c r="I276" s="4"/>
      <c r="J276" s="4"/>
      <c r="K276" s="4"/>
      <c r="L276" s="21" t="str">
        <f t="shared" si="24"/>
        <v/>
      </c>
      <c r="M276" s="5" t="str">
        <f t="shared" ca="1" si="25"/>
        <v/>
      </c>
      <c r="N276" s="21" t="str">
        <f t="shared" ca="1" si="26"/>
        <v/>
      </c>
      <c r="O276" s="2" t="str">
        <f t="shared" si="27"/>
        <v/>
      </c>
      <c r="P276" s="17" t="str">
        <f t="shared" si="28"/>
        <v/>
      </c>
      <c r="Q276" s="20" t="str">
        <f t="shared" si="29"/>
        <v/>
      </c>
      <c r="R276" s="2"/>
      <c r="S276" s="6"/>
      <c r="T276" s="6"/>
      <c r="U276" s="22"/>
      <c r="V276" s="4"/>
      <c r="W276" s="4"/>
      <c r="X276" s="4"/>
    </row>
    <row r="277" spans="1:24">
      <c r="A277" s="2"/>
      <c r="B277" s="2"/>
      <c r="C277" s="2"/>
      <c r="D277" s="3"/>
      <c r="E277" s="3"/>
      <c r="F277" s="3"/>
      <c r="G277" s="2"/>
      <c r="H277" s="2"/>
      <c r="I277" s="4"/>
      <c r="J277" s="4"/>
      <c r="K277" s="4"/>
      <c r="L277" s="21" t="str">
        <f t="shared" si="24"/>
        <v/>
      </c>
      <c r="M277" s="5" t="str">
        <f t="shared" ca="1" si="25"/>
        <v/>
      </c>
      <c r="N277" s="21" t="str">
        <f t="shared" ca="1" si="26"/>
        <v/>
      </c>
      <c r="O277" s="2" t="str">
        <f t="shared" si="27"/>
        <v/>
      </c>
      <c r="P277" s="17" t="str">
        <f t="shared" si="28"/>
        <v/>
      </c>
      <c r="Q277" s="20" t="str">
        <f t="shared" si="29"/>
        <v/>
      </c>
      <c r="R277" s="2"/>
      <c r="S277" s="6"/>
      <c r="T277" s="6"/>
      <c r="U277" s="22"/>
      <c r="V277" s="4"/>
      <c r="W277" s="4"/>
      <c r="X277" s="4"/>
    </row>
    <row r="278" spans="1:24">
      <c r="A278" s="2"/>
      <c r="B278" s="2"/>
      <c r="C278" s="2"/>
      <c r="D278" s="3"/>
      <c r="E278" s="3"/>
      <c r="F278" s="3"/>
      <c r="G278" s="2"/>
      <c r="H278" s="2"/>
      <c r="I278" s="4"/>
      <c r="J278" s="4"/>
      <c r="K278" s="4"/>
      <c r="L278" s="21" t="str">
        <f t="shared" si="24"/>
        <v/>
      </c>
      <c r="M278" s="5" t="str">
        <f t="shared" ca="1" si="25"/>
        <v/>
      </c>
      <c r="N278" s="21" t="str">
        <f t="shared" ca="1" si="26"/>
        <v/>
      </c>
      <c r="O278" s="2" t="str">
        <f t="shared" si="27"/>
        <v/>
      </c>
      <c r="P278" s="17" t="str">
        <f t="shared" si="28"/>
        <v/>
      </c>
      <c r="Q278" s="20" t="str">
        <f t="shared" si="29"/>
        <v/>
      </c>
      <c r="R278" s="2"/>
      <c r="S278" s="6"/>
      <c r="T278" s="6"/>
      <c r="U278" s="22"/>
      <c r="V278" s="4"/>
      <c r="W278" s="4"/>
      <c r="X278" s="4"/>
    </row>
    <row r="279" spans="1:24">
      <c r="A279" s="2"/>
      <c r="B279" s="2"/>
      <c r="C279" s="2"/>
      <c r="D279" s="3"/>
      <c r="E279" s="3"/>
      <c r="F279" s="3"/>
      <c r="G279" s="2"/>
      <c r="H279" s="2"/>
      <c r="I279" s="4"/>
      <c r="J279" s="4"/>
      <c r="K279" s="4"/>
      <c r="L279" s="21" t="str">
        <f t="shared" si="24"/>
        <v/>
      </c>
      <c r="M279" s="5" t="str">
        <f t="shared" ca="1" si="25"/>
        <v/>
      </c>
      <c r="N279" s="21" t="str">
        <f t="shared" ca="1" si="26"/>
        <v/>
      </c>
      <c r="O279" s="2" t="str">
        <f t="shared" si="27"/>
        <v/>
      </c>
      <c r="P279" s="17" t="str">
        <f t="shared" si="28"/>
        <v/>
      </c>
      <c r="Q279" s="20" t="str">
        <f t="shared" si="29"/>
        <v/>
      </c>
      <c r="R279" s="2"/>
      <c r="S279" s="6"/>
      <c r="T279" s="6"/>
      <c r="U279" s="22"/>
      <c r="V279" s="4"/>
      <c r="W279" s="4"/>
      <c r="X279" s="4"/>
    </row>
    <row r="280" spans="1:24">
      <c r="A280" s="2"/>
      <c r="B280" s="2"/>
      <c r="C280" s="2"/>
      <c r="D280" s="3"/>
      <c r="E280" s="3"/>
      <c r="F280" s="3"/>
      <c r="G280" s="2"/>
      <c r="H280" s="2"/>
      <c r="I280" s="4"/>
      <c r="J280" s="4"/>
      <c r="K280" s="4"/>
      <c r="L280" s="21" t="str">
        <f t="shared" si="24"/>
        <v/>
      </c>
      <c r="M280" s="5" t="str">
        <f t="shared" ca="1" si="25"/>
        <v/>
      </c>
      <c r="N280" s="21" t="str">
        <f t="shared" ca="1" si="26"/>
        <v/>
      </c>
      <c r="O280" s="2" t="str">
        <f t="shared" si="27"/>
        <v/>
      </c>
      <c r="P280" s="17" t="str">
        <f t="shared" si="28"/>
        <v/>
      </c>
      <c r="Q280" s="20" t="str">
        <f t="shared" si="29"/>
        <v/>
      </c>
      <c r="R280" s="2"/>
      <c r="S280" s="6"/>
      <c r="T280" s="6"/>
      <c r="U280" s="22"/>
      <c r="V280" s="4"/>
      <c r="W280" s="4"/>
      <c r="X280" s="4"/>
    </row>
    <row r="281" spans="1:24">
      <c r="A281" s="2"/>
      <c r="B281" s="2"/>
      <c r="C281" s="2"/>
      <c r="D281" s="3"/>
      <c r="E281" s="3"/>
      <c r="F281" s="3"/>
      <c r="G281" s="2"/>
      <c r="H281" s="2"/>
      <c r="I281" s="4"/>
      <c r="J281" s="4"/>
      <c r="K281" s="4"/>
      <c r="L281" s="21" t="str">
        <f t="shared" si="24"/>
        <v/>
      </c>
      <c r="M281" s="5" t="str">
        <f t="shared" ca="1" si="25"/>
        <v/>
      </c>
      <c r="N281" s="21" t="str">
        <f t="shared" ca="1" si="26"/>
        <v/>
      </c>
      <c r="O281" s="2" t="str">
        <f t="shared" si="27"/>
        <v/>
      </c>
      <c r="P281" s="17" t="str">
        <f t="shared" si="28"/>
        <v/>
      </c>
      <c r="Q281" s="20" t="str">
        <f t="shared" si="29"/>
        <v/>
      </c>
      <c r="R281" s="2"/>
      <c r="S281" s="6"/>
      <c r="T281" s="6"/>
      <c r="U281" s="22"/>
      <c r="V281" s="4"/>
      <c r="W281" s="4"/>
      <c r="X281" s="4"/>
    </row>
    <row r="282" spans="1:24">
      <c r="A282" s="2"/>
      <c r="B282" s="2"/>
      <c r="C282" s="2"/>
      <c r="D282" s="3"/>
      <c r="E282" s="3"/>
      <c r="F282" s="3"/>
      <c r="G282" s="2"/>
      <c r="H282" s="2"/>
      <c r="I282" s="4"/>
      <c r="J282" s="4"/>
      <c r="K282" s="4"/>
      <c r="L282" s="21" t="str">
        <f t="shared" si="24"/>
        <v/>
      </c>
      <c r="M282" s="5" t="str">
        <f t="shared" ca="1" si="25"/>
        <v/>
      </c>
      <c r="N282" s="21" t="str">
        <f t="shared" ca="1" si="26"/>
        <v/>
      </c>
      <c r="O282" s="2" t="str">
        <f t="shared" si="27"/>
        <v/>
      </c>
      <c r="P282" s="17" t="str">
        <f t="shared" si="28"/>
        <v/>
      </c>
      <c r="Q282" s="20" t="str">
        <f t="shared" si="29"/>
        <v/>
      </c>
      <c r="R282" s="2"/>
      <c r="S282" s="6"/>
      <c r="T282" s="6"/>
      <c r="U282" s="22"/>
      <c r="V282" s="4"/>
      <c r="W282" s="4"/>
      <c r="X282" s="4"/>
    </row>
    <row r="283" spans="1:24">
      <c r="A283" s="2"/>
      <c r="B283" s="2"/>
      <c r="C283" s="2"/>
      <c r="D283" s="3"/>
      <c r="E283" s="3"/>
      <c r="F283" s="3"/>
      <c r="G283" s="2"/>
      <c r="H283" s="2"/>
      <c r="I283" s="4"/>
      <c r="J283" s="4"/>
      <c r="K283" s="4"/>
      <c r="L283" s="21" t="str">
        <f t="shared" si="24"/>
        <v/>
      </c>
      <c r="M283" s="5" t="str">
        <f t="shared" ca="1" si="25"/>
        <v/>
      </c>
      <c r="N283" s="21" t="str">
        <f t="shared" ca="1" si="26"/>
        <v/>
      </c>
      <c r="O283" s="2" t="str">
        <f t="shared" si="27"/>
        <v/>
      </c>
      <c r="P283" s="17" t="str">
        <f t="shared" si="28"/>
        <v/>
      </c>
      <c r="Q283" s="20" t="str">
        <f t="shared" si="29"/>
        <v/>
      </c>
      <c r="R283" s="2"/>
      <c r="S283" s="6"/>
      <c r="T283" s="6"/>
      <c r="U283" s="22"/>
      <c r="V283" s="4"/>
      <c r="W283" s="4"/>
      <c r="X283" s="4"/>
    </row>
    <row r="284" spans="1:24">
      <c r="A284" s="2"/>
      <c r="B284" s="2"/>
      <c r="C284" s="2"/>
      <c r="D284" s="3"/>
      <c r="E284" s="3"/>
      <c r="F284" s="3"/>
      <c r="G284" s="2"/>
      <c r="H284" s="2"/>
      <c r="I284" s="4"/>
      <c r="J284" s="4"/>
      <c r="K284" s="4"/>
      <c r="L284" s="21" t="str">
        <f t="shared" si="24"/>
        <v/>
      </c>
      <c r="M284" s="5" t="str">
        <f t="shared" ca="1" si="25"/>
        <v/>
      </c>
      <c r="N284" s="21" t="str">
        <f t="shared" ca="1" si="26"/>
        <v/>
      </c>
      <c r="O284" s="2" t="str">
        <f t="shared" si="27"/>
        <v/>
      </c>
      <c r="P284" s="17" t="str">
        <f t="shared" si="28"/>
        <v/>
      </c>
      <c r="Q284" s="20" t="str">
        <f t="shared" si="29"/>
        <v/>
      </c>
      <c r="R284" s="2"/>
      <c r="S284" s="6"/>
      <c r="T284" s="6"/>
      <c r="U284" s="22"/>
      <c r="V284" s="4"/>
      <c r="W284" s="4"/>
      <c r="X284" s="4"/>
    </row>
    <row r="285" spans="1:24">
      <c r="A285" s="2"/>
      <c r="B285" s="2"/>
      <c r="C285" s="2"/>
      <c r="D285" s="3"/>
      <c r="E285" s="3"/>
      <c r="F285" s="3"/>
      <c r="G285" s="2"/>
      <c r="H285" s="2"/>
      <c r="I285" s="4"/>
      <c r="J285" s="4"/>
      <c r="K285" s="4"/>
      <c r="L285" s="21" t="str">
        <f t="shared" si="24"/>
        <v/>
      </c>
      <c r="M285" s="5" t="str">
        <f t="shared" ca="1" si="25"/>
        <v/>
      </c>
      <c r="N285" s="21" t="str">
        <f t="shared" ca="1" si="26"/>
        <v/>
      </c>
      <c r="O285" s="2" t="str">
        <f t="shared" si="27"/>
        <v/>
      </c>
      <c r="P285" s="17" t="str">
        <f t="shared" si="28"/>
        <v/>
      </c>
      <c r="Q285" s="20" t="str">
        <f t="shared" si="29"/>
        <v/>
      </c>
      <c r="R285" s="2"/>
      <c r="S285" s="6"/>
      <c r="T285" s="6"/>
      <c r="U285" s="22"/>
      <c r="V285" s="4"/>
      <c r="W285" s="4"/>
      <c r="X285" s="4"/>
    </row>
    <row r="286" spans="1:24">
      <c r="A286" s="2"/>
      <c r="B286" s="2"/>
      <c r="C286" s="2"/>
      <c r="D286" s="3"/>
      <c r="E286" s="3"/>
      <c r="F286" s="3"/>
      <c r="G286" s="2"/>
      <c r="H286" s="2"/>
      <c r="I286" s="4"/>
      <c r="J286" s="4"/>
      <c r="K286" s="4"/>
      <c r="L286" s="21" t="str">
        <f t="shared" si="24"/>
        <v/>
      </c>
      <c r="M286" s="5" t="str">
        <f t="shared" ca="1" si="25"/>
        <v/>
      </c>
      <c r="N286" s="21" t="str">
        <f t="shared" ca="1" si="26"/>
        <v/>
      </c>
      <c r="O286" s="2" t="str">
        <f t="shared" si="27"/>
        <v/>
      </c>
      <c r="P286" s="17" t="str">
        <f t="shared" si="28"/>
        <v/>
      </c>
      <c r="Q286" s="20" t="str">
        <f t="shared" si="29"/>
        <v/>
      </c>
      <c r="R286" s="2"/>
      <c r="S286" s="6"/>
      <c r="T286" s="6"/>
      <c r="U286" s="22"/>
      <c r="V286" s="4"/>
      <c r="W286" s="4"/>
      <c r="X286" s="4"/>
    </row>
    <row r="287" spans="1:24">
      <c r="A287" s="2"/>
      <c r="B287" s="2"/>
      <c r="C287" s="2"/>
      <c r="D287" s="3"/>
      <c r="E287" s="3"/>
      <c r="F287" s="3"/>
      <c r="G287" s="2"/>
      <c r="H287" s="2"/>
      <c r="I287" s="4"/>
      <c r="J287" s="4"/>
      <c r="K287" s="4"/>
      <c r="L287" s="21" t="str">
        <f t="shared" si="24"/>
        <v/>
      </c>
      <c r="M287" s="5" t="str">
        <f t="shared" ca="1" si="25"/>
        <v/>
      </c>
      <c r="N287" s="21" t="str">
        <f t="shared" ca="1" si="26"/>
        <v/>
      </c>
      <c r="O287" s="2" t="str">
        <f t="shared" si="27"/>
        <v/>
      </c>
      <c r="P287" s="17" t="str">
        <f t="shared" si="28"/>
        <v/>
      </c>
      <c r="Q287" s="20" t="str">
        <f t="shared" si="29"/>
        <v/>
      </c>
      <c r="R287" s="2"/>
      <c r="S287" s="6"/>
      <c r="T287" s="6"/>
      <c r="U287" s="22"/>
      <c r="V287" s="4"/>
      <c r="W287" s="4"/>
      <c r="X287" s="4"/>
    </row>
    <row r="288" spans="1:24">
      <c r="A288" s="2"/>
      <c r="B288" s="2"/>
      <c r="C288" s="2"/>
      <c r="D288" s="3"/>
      <c r="E288" s="3"/>
      <c r="F288" s="3"/>
      <c r="G288" s="2"/>
      <c r="H288" s="2"/>
      <c r="I288" s="4"/>
      <c r="J288" s="4"/>
      <c r="K288" s="4"/>
      <c r="L288" s="21" t="str">
        <f t="shared" si="24"/>
        <v/>
      </c>
      <c r="M288" s="5" t="str">
        <f t="shared" ca="1" si="25"/>
        <v/>
      </c>
      <c r="N288" s="21" t="str">
        <f t="shared" ca="1" si="26"/>
        <v/>
      </c>
      <c r="O288" s="2" t="str">
        <f t="shared" si="27"/>
        <v/>
      </c>
      <c r="P288" s="17" t="str">
        <f t="shared" si="28"/>
        <v/>
      </c>
      <c r="Q288" s="20" t="str">
        <f t="shared" si="29"/>
        <v/>
      </c>
      <c r="R288" s="2"/>
      <c r="S288" s="6"/>
      <c r="T288" s="6"/>
      <c r="U288" s="22"/>
      <c r="V288" s="4"/>
      <c r="W288" s="4"/>
      <c r="X288" s="4"/>
    </row>
    <row r="289" spans="1:24">
      <c r="A289" s="2"/>
      <c r="B289" s="2"/>
      <c r="C289" s="2"/>
      <c r="D289" s="3"/>
      <c r="E289" s="3"/>
      <c r="F289" s="3"/>
      <c r="G289" s="2"/>
      <c r="H289" s="2"/>
      <c r="I289" s="4"/>
      <c r="J289" s="4"/>
      <c r="K289" s="4"/>
      <c r="L289" s="21" t="str">
        <f t="shared" si="24"/>
        <v/>
      </c>
      <c r="M289" s="5" t="str">
        <f t="shared" ca="1" si="25"/>
        <v/>
      </c>
      <c r="N289" s="21" t="str">
        <f t="shared" ca="1" si="26"/>
        <v/>
      </c>
      <c r="O289" s="2" t="str">
        <f t="shared" si="27"/>
        <v/>
      </c>
      <c r="P289" s="17" t="str">
        <f t="shared" si="28"/>
        <v/>
      </c>
      <c r="Q289" s="20" t="str">
        <f t="shared" si="29"/>
        <v/>
      </c>
      <c r="R289" s="2"/>
      <c r="S289" s="6"/>
      <c r="T289" s="6"/>
      <c r="U289" s="22"/>
      <c r="V289" s="4"/>
      <c r="W289" s="4"/>
      <c r="X289" s="4"/>
    </row>
    <row r="290" spans="1:24">
      <c r="A290" s="2"/>
      <c r="B290" s="2"/>
      <c r="C290" s="2"/>
      <c r="D290" s="3"/>
      <c r="E290" s="3"/>
      <c r="F290" s="3"/>
      <c r="G290" s="2"/>
      <c r="H290" s="2"/>
      <c r="I290" s="4"/>
      <c r="J290" s="4"/>
      <c r="K290" s="4"/>
      <c r="L290" s="21" t="str">
        <f t="shared" si="24"/>
        <v/>
      </c>
      <c r="M290" s="5" t="str">
        <f t="shared" ca="1" si="25"/>
        <v/>
      </c>
      <c r="N290" s="21" t="str">
        <f t="shared" ca="1" si="26"/>
        <v/>
      </c>
      <c r="O290" s="2" t="str">
        <f t="shared" si="27"/>
        <v/>
      </c>
      <c r="P290" s="17" t="str">
        <f t="shared" si="28"/>
        <v/>
      </c>
      <c r="Q290" s="20" t="str">
        <f t="shared" si="29"/>
        <v/>
      </c>
      <c r="R290" s="2"/>
      <c r="S290" s="6"/>
      <c r="T290" s="6"/>
      <c r="U290" s="22"/>
      <c r="V290" s="4"/>
      <c r="W290" s="4"/>
      <c r="X290" s="4"/>
    </row>
    <row r="291" spans="1:24">
      <c r="A291" s="2"/>
      <c r="B291" s="2"/>
      <c r="C291" s="2"/>
      <c r="D291" s="3"/>
      <c r="E291" s="3"/>
      <c r="F291" s="3"/>
      <c r="G291" s="2"/>
      <c r="H291" s="2"/>
      <c r="I291" s="4"/>
      <c r="J291" s="4"/>
      <c r="K291" s="4"/>
      <c r="L291" s="21" t="str">
        <f t="shared" si="24"/>
        <v/>
      </c>
      <c r="M291" s="5" t="str">
        <f t="shared" ca="1" si="25"/>
        <v/>
      </c>
      <c r="N291" s="21" t="str">
        <f t="shared" ca="1" si="26"/>
        <v/>
      </c>
      <c r="O291" s="2" t="str">
        <f t="shared" si="27"/>
        <v/>
      </c>
      <c r="P291" s="17" t="str">
        <f t="shared" si="28"/>
        <v/>
      </c>
      <c r="Q291" s="20" t="str">
        <f t="shared" si="29"/>
        <v/>
      </c>
      <c r="R291" s="2"/>
      <c r="S291" s="6"/>
      <c r="T291" s="6"/>
      <c r="U291" s="22"/>
      <c r="V291" s="4"/>
      <c r="W291" s="4"/>
      <c r="X291" s="4"/>
    </row>
    <row r="292" spans="1:24">
      <c r="A292" s="2"/>
      <c r="B292" s="2"/>
      <c r="C292" s="2"/>
      <c r="D292" s="3"/>
      <c r="E292" s="3"/>
      <c r="F292" s="3"/>
      <c r="G292" s="2"/>
      <c r="H292" s="2"/>
      <c r="I292" s="4"/>
      <c r="J292" s="4"/>
      <c r="K292" s="4"/>
      <c r="L292" s="21" t="str">
        <f t="shared" si="24"/>
        <v/>
      </c>
      <c r="M292" s="5" t="str">
        <f t="shared" ca="1" si="25"/>
        <v/>
      </c>
      <c r="N292" s="21" t="str">
        <f t="shared" ca="1" si="26"/>
        <v/>
      </c>
      <c r="O292" s="2" t="str">
        <f t="shared" si="27"/>
        <v/>
      </c>
      <c r="P292" s="17" t="str">
        <f t="shared" si="28"/>
        <v/>
      </c>
      <c r="Q292" s="20" t="str">
        <f t="shared" si="29"/>
        <v/>
      </c>
      <c r="R292" s="2"/>
      <c r="S292" s="6"/>
      <c r="T292" s="6"/>
      <c r="U292" s="22"/>
      <c r="V292" s="4"/>
      <c r="W292" s="4"/>
      <c r="X292" s="4"/>
    </row>
    <row r="293" spans="1:24">
      <c r="A293" s="2"/>
      <c r="B293" s="2"/>
      <c r="C293" s="2"/>
      <c r="D293" s="3"/>
      <c r="E293" s="3"/>
      <c r="F293" s="3"/>
      <c r="G293" s="2"/>
      <c r="H293" s="2"/>
      <c r="I293" s="4"/>
      <c r="J293" s="4"/>
      <c r="K293" s="4"/>
      <c r="L293" s="21" t="str">
        <f t="shared" si="24"/>
        <v/>
      </c>
      <c r="M293" s="5" t="str">
        <f t="shared" ca="1" si="25"/>
        <v/>
      </c>
      <c r="N293" s="21" t="str">
        <f t="shared" ca="1" si="26"/>
        <v/>
      </c>
      <c r="O293" s="2" t="str">
        <f t="shared" si="27"/>
        <v/>
      </c>
      <c r="P293" s="17" t="str">
        <f t="shared" si="28"/>
        <v/>
      </c>
      <c r="Q293" s="20" t="str">
        <f t="shared" si="29"/>
        <v/>
      </c>
      <c r="R293" s="2"/>
      <c r="S293" s="6"/>
      <c r="T293" s="6"/>
      <c r="U293" s="22"/>
      <c r="V293" s="4"/>
      <c r="W293" s="4"/>
      <c r="X293" s="4"/>
    </row>
    <row r="294" spans="1:24">
      <c r="A294" s="2"/>
      <c r="B294" s="2"/>
      <c r="C294" s="2"/>
      <c r="D294" s="3"/>
      <c r="E294" s="3"/>
      <c r="F294" s="3"/>
      <c r="G294" s="2"/>
      <c r="H294" s="2"/>
      <c r="I294" s="4"/>
      <c r="J294" s="4"/>
      <c r="K294" s="4"/>
      <c r="L294" s="21" t="str">
        <f t="shared" si="24"/>
        <v/>
      </c>
      <c r="M294" s="5" t="str">
        <f t="shared" ca="1" si="25"/>
        <v/>
      </c>
      <c r="N294" s="21" t="str">
        <f t="shared" ca="1" si="26"/>
        <v/>
      </c>
      <c r="O294" s="2" t="str">
        <f t="shared" si="27"/>
        <v/>
      </c>
      <c r="P294" s="17" t="str">
        <f t="shared" si="28"/>
        <v/>
      </c>
      <c r="Q294" s="20" t="str">
        <f t="shared" si="29"/>
        <v/>
      </c>
      <c r="R294" s="2"/>
      <c r="S294" s="6"/>
      <c r="T294" s="6"/>
      <c r="U294" s="22"/>
      <c r="V294" s="4"/>
      <c r="W294" s="4"/>
      <c r="X294" s="4"/>
    </row>
    <row r="295" spans="1:24">
      <c r="A295" s="2"/>
      <c r="B295" s="2"/>
      <c r="C295" s="2"/>
      <c r="D295" s="3"/>
      <c r="E295" s="3"/>
      <c r="F295" s="3"/>
      <c r="G295" s="2"/>
      <c r="H295" s="2"/>
      <c r="I295" s="4"/>
      <c r="J295" s="4"/>
      <c r="K295" s="4"/>
      <c r="L295" s="21" t="str">
        <f t="shared" si="24"/>
        <v/>
      </c>
      <c r="M295" s="5" t="str">
        <f t="shared" ca="1" si="25"/>
        <v/>
      </c>
      <c r="N295" s="21" t="str">
        <f t="shared" ca="1" si="26"/>
        <v/>
      </c>
      <c r="O295" s="2" t="str">
        <f t="shared" si="27"/>
        <v/>
      </c>
      <c r="P295" s="17" t="str">
        <f t="shared" si="28"/>
        <v/>
      </c>
      <c r="Q295" s="20" t="str">
        <f t="shared" si="29"/>
        <v/>
      </c>
      <c r="R295" s="2"/>
      <c r="S295" s="6"/>
      <c r="T295" s="6"/>
      <c r="U295" s="22"/>
      <c r="V295" s="4"/>
      <c r="W295" s="4"/>
      <c r="X295" s="4"/>
    </row>
    <row r="296" spans="1:24">
      <c r="A296" s="2"/>
      <c r="B296" s="2"/>
      <c r="C296" s="2"/>
      <c r="D296" s="3"/>
      <c r="E296" s="3"/>
      <c r="F296" s="3"/>
      <c r="G296" s="2"/>
      <c r="H296" s="2"/>
      <c r="I296" s="4"/>
      <c r="J296" s="4"/>
      <c r="K296" s="4"/>
      <c r="L296" s="21" t="str">
        <f t="shared" si="24"/>
        <v/>
      </c>
      <c r="M296" s="5" t="str">
        <f t="shared" ca="1" si="25"/>
        <v/>
      </c>
      <c r="N296" s="21" t="str">
        <f t="shared" ca="1" si="26"/>
        <v/>
      </c>
      <c r="O296" s="2" t="str">
        <f t="shared" si="27"/>
        <v/>
      </c>
      <c r="P296" s="17" t="str">
        <f t="shared" si="28"/>
        <v/>
      </c>
      <c r="Q296" s="20" t="str">
        <f t="shared" si="29"/>
        <v/>
      </c>
      <c r="R296" s="2"/>
      <c r="S296" s="6"/>
      <c r="T296" s="6"/>
      <c r="U296" s="22"/>
      <c r="V296" s="4"/>
      <c r="W296" s="4"/>
      <c r="X296" s="4"/>
    </row>
    <row r="297" spans="1:24">
      <c r="A297" s="2"/>
      <c r="B297" s="2"/>
      <c r="C297" s="2"/>
      <c r="D297" s="3"/>
      <c r="E297" s="3"/>
      <c r="F297" s="3"/>
      <c r="G297" s="2"/>
      <c r="H297" s="2"/>
      <c r="I297" s="4"/>
      <c r="J297" s="4"/>
      <c r="K297" s="4"/>
      <c r="L297" s="21" t="str">
        <f t="shared" si="24"/>
        <v/>
      </c>
      <c r="M297" s="5" t="str">
        <f t="shared" ca="1" si="25"/>
        <v/>
      </c>
      <c r="N297" s="21" t="str">
        <f t="shared" ca="1" si="26"/>
        <v/>
      </c>
      <c r="O297" s="2" t="str">
        <f t="shared" si="27"/>
        <v/>
      </c>
      <c r="P297" s="17" t="str">
        <f t="shared" si="28"/>
        <v/>
      </c>
      <c r="Q297" s="20" t="str">
        <f t="shared" si="29"/>
        <v/>
      </c>
      <c r="R297" s="2"/>
      <c r="S297" s="6"/>
      <c r="T297" s="6"/>
      <c r="U297" s="22"/>
      <c r="V297" s="4"/>
      <c r="W297" s="4"/>
      <c r="X297" s="4"/>
    </row>
    <row r="298" spans="1:24">
      <c r="A298" s="2"/>
      <c r="B298" s="2"/>
      <c r="C298" s="2"/>
      <c r="D298" s="3"/>
      <c r="E298" s="3"/>
      <c r="F298" s="3"/>
      <c r="G298" s="2"/>
      <c r="H298" s="2"/>
      <c r="I298" s="4"/>
      <c r="J298" s="4"/>
      <c r="K298" s="4"/>
      <c r="L298" s="21" t="str">
        <f t="shared" si="24"/>
        <v/>
      </c>
      <c r="M298" s="5" t="str">
        <f t="shared" ca="1" si="25"/>
        <v/>
      </c>
      <c r="N298" s="21" t="str">
        <f t="shared" ca="1" si="26"/>
        <v/>
      </c>
      <c r="O298" s="2" t="str">
        <f t="shared" si="27"/>
        <v/>
      </c>
      <c r="P298" s="17" t="str">
        <f t="shared" si="28"/>
        <v/>
      </c>
      <c r="Q298" s="20" t="str">
        <f t="shared" si="29"/>
        <v/>
      </c>
      <c r="R298" s="2"/>
      <c r="S298" s="6"/>
      <c r="T298" s="6"/>
      <c r="U298" s="22"/>
      <c r="V298" s="4"/>
      <c r="W298" s="4"/>
      <c r="X298" s="4"/>
    </row>
    <row r="299" spans="1:24">
      <c r="A299" s="2"/>
      <c r="B299" s="2"/>
      <c r="C299" s="2"/>
      <c r="D299" s="3"/>
      <c r="E299" s="3"/>
      <c r="F299" s="3"/>
      <c r="G299" s="2"/>
      <c r="H299" s="2"/>
      <c r="I299" s="4"/>
      <c r="J299" s="4"/>
      <c r="K299" s="4"/>
      <c r="L299" s="21" t="str">
        <f t="shared" si="24"/>
        <v/>
      </c>
      <c r="M299" s="5" t="str">
        <f t="shared" ca="1" si="25"/>
        <v/>
      </c>
      <c r="N299" s="21" t="str">
        <f t="shared" ca="1" si="26"/>
        <v/>
      </c>
      <c r="O299" s="2" t="str">
        <f t="shared" si="27"/>
        <v/>
      </c>
      <c r="P299" s="17" t="str">
        <f t="shared" si="28"/>
        <v/>
      </c>
      <c r="Q299" s="20" t="str">
        <f t="shared" si="29"/>
        <v/>
      </c>
      <c r="R299" s="2"/>
      <c r="S299" s="6"/>
      <c r="T299" s="6"/>
      <c r="U299" s="22"/>
      <c r="V299" s="4"/>
      <c r="W299" s="4"/>
      <c r="X299" s="4"/>
    </row>
    <row r="300" spans="1:24">
      <c r="A300" s="2"/>
      <c r="B300" s="2"/>
      <c r="C300" s="2"/>
      <c r="D300" s="3"/>
      <c r="E300" s="3"/>
      <c r="F300" s="3"/>
      <c r="G300" s="2"/>
      <c r="H300" s="2"/>
      <c r="I300" s="4"/>
      <c r="J300" s="4"/>
      <c r="K300" s="4"/>
      <c r="L300" s="21" t="str">
        <f t="shared" si="24"/>
        <v/>
      </c>
      <c r="M300" s="5" t="str">
        <f t="shared" ca="1" si="25"/>
        <v/>
      </c>
      <c r="N300" s="21" t="str">
        <f t="shared" ca="1" si="26"/>
        <v/>
      </c>
      <c r="O300" s="2" t="str">
        <f t="shared" si="27"/>
        <v/>
      </c>
      <c r="P300" s="17" t="str">
        <f t="shared" si="28"/>
        <v/>
      </c>
      <c r="Q300" s="20" t="str">
        <f t="shared" si="29"/>
        <v/>
      </c>
      <c r="R300" s="2"/>
      <c r="S300" s="6"/>
      <c r="T300" s="6"/>
      <c r="U300" s="22"/>
      <c r="V300" s="4"/>
      <c r="W300" s="4"/>
      <c r="X300" s="4"/>
    </row>
    <row r="301" spans="1:24">
      <c r="A301" s="2"/>
      <c r="B301" s="2"/>
      <c r="C301" s="2"/>
      <c r="D301" s="3"/>
      <c r="E301" s="3"/>
      <c r="F301" s="3"/>
      <c r="G301" s="2"/>
      <c r="H301" s="2"/>
      <c r="I301" s="4"/>
      <c r="J301" s="4"/>
      <c r="K301" s="4"/>
      <c r="L301" s="21" t="str">
        <f t="shared" si="24"/>
        <v/>
      </c>
      <c r="M301" s="5" t="str">
        <f t="shared" ca="1" si="25"/>
        <v/>
      </c>
      <c r="N301" s="21" t="str">
        <f t="shared" ca="1" si="26"/>
        <v/>
      </c>
      <c r="O301" s="2" t="str">
        <f t="shared" si="27"/>
        <v/>
      </c>
      <c r="P301" s="17" t="str">
        <f t="shared" si="28"/>
        <v/>
      </c>
      <c r="Q301" s="20" t="str">
        <f t="shared" si="29"/>
        <v/>
      </c>
      <c r="R301" s="2"/>
      <c r="S301" s="6"/>
      <c r="T301" s="6"/>
      <c r="U301" s="22"/>
      <c r="V301" s="4"/>
      <c r="W301" s="4"/>
      <c r="X301" s="4"/>
    </row>
  </sheetData>
  <conditionalFormatting sqref="A2:Q301">
    <cfRule type="expression" priority="56">
      <formula>AND($A2&lt;&gt;"",OR($O2="ATRASADA",$O2="ATRASADO",$O2="BLOQUEADA"))</formula>
    </cfRule>
  </conditionalFormatting>
  <conditionalFormatting sqref="B2:B301">
    <cfRule type="expression" dxfId="25" priority="13">
      <formula>B2="PROCESO"</formula>
    </cfRule>
  </conditionalFormatting>
  <conditionalFormatting sqref="G2:G301">
    <cfRule type="expression" dxfId="24" priority="6">
      <formula>G2="Crítica"</formula>
    </cfRule>
  </conditionalFormatting>
  <conditionalFormatting sqref="H2:H301">
    <cfRule type="expression" dxfId="23" priority="35">
      <formula>H2="Crítica"</formula>
    </cfRule>
    <cfRule type="expression" dxfId="22" priority="36">
      <formula>H2="Alta"</formula>
    </cfRule>
    <cfRule type="expression" dxfId="21" priority="37">
      <formula>H2="Media"</formula>
    </cfRule>
    <cfRule type="expression" dxfId="20" priority="38">
      <formula>H2="Baja"</formula>
    </cfRule>
  </conditionalFormatting>
  <conditionalFormatting sqref="I2:I301">
    <cfRule type="expression" dxfId="19" priority="39">
      <formula>OR(I2="Terminada",I2="Completada")</formula>
    </cfRule>
    <cfRule type="expression" dxfId="18" priority="40">
      <formula>I2="En curso"</formula>
    </cfRule>
    <cfRule type="expression" dxfId="17" priority="41">
      <formula>I2="Bloqueada"</formula>
    </cfRule>
    <cfRule type="expression" dxfId="16" priority="42">
      <formula>OR(I2="En espera",I2="Pendiente de tercero",I2="En revisión")</formula>
    </cfRule>
    <cfRule type="expression" dxfId="15" priority="43">
      <formula>OR(I2="Observada",I2="Suspendida")</formula>
    </cfRule>
  </conditionalFormatting>
  <conditionalFormatting sqref="L2:L301">
    <cfRule type="dataBar" priority="1">
      <dataBar>
        <cfvo type="min"/>
        <cfvo type="max"/>
        <color rgb="FF2F75B5"/>
      </dataBar>
    </cfRule>
    <cfRule type="dataBar" priority="57">
      <dataBar>
        <cfvo type="min"/>
        <cfvo type="max"/>
        <color rgb="FF2F75B5"/>
      </dataBar>
      <extLst>
        <ext xmlns:x14="http://schemas.microsoft.com/office/spreadsheetml/2009/9/main" uri="{B025F937-C7B1-47D3-B67F-A62EFF666E3E}">
          <x14:id>{24899166-8F99-DCD0-6F72-30F8BE509A58}</x14:id>
        </ext>
      </extLst>
    </cfRule>
  </conditionalFormatting>
  <conditionalFormatting sqref="M2:M301">
    <cfRule type="dataBar" priority="28">
      <dataBar>
        <cfvo type="min"/>
        <cfvo type="max"/>
        <color rgb="FF2F75B5"/>
      </dataBar>
    </cfRule>
    <cfRule type="dataBar" priority="58">
      <dataBar>
        <cfvo type="min"/>
        <cfvo type="max"/>
        <color rgb="FF2F75B5"/>
      </dataBar>
      <extLst>
        <ext xmlns:x14="http://schemas.microsoft.com/office/spreadsheetml/2009/9/main" uri="{B025F937-C7B1-47D3-B67F-A62EFF666E3E}">
          <x14:id>{661ADE5A-A891-357C-478A-3561B841E19F}</x14:id>
        </ext>
      </extLst>
    </cfRule>
  </conditionalFormatting>
  <conditionalFormatting sqref="N2:N301">
    <cfRule type="expression" dxfId="14" priority="44">
      <formula>AND($A2&lt;&gt;"",N2&lt;0)</formula>
    </cfRule>
    <cfRule type="expression" dxfId="13" priority="45">
      <formula>AND($A2&lt;&gt;"",N2&gt;=0,N2&lt;=3)</formula>
    </cfRule>
    <cfRule type="expression" dxfId="12" priority="46">
      <formula>AND($A2&lt;&gt;"",N2&gt;3,N2&lt;=7)</formula>
    </cfRule>
    <cfRule type="expression" dxfId="11" priority="47">
      <formula>AND($A2&lt;&gt;"",N2&gt;7)</formula>
    </cfRule>
  </conditionalFormatting>
  <conditionalFormatting sqref="O2:O301">
    <cfRule type="expression" dxfId="10" priority="48">
      <formula>OR(O2="ATRASADA",O2="ATRASADO",O2="BLOQUEADA",O2="SIN ETAPAS")</formula>
    </cfRule>
    <cfRule type="expression" dxfId="9" priority="49">
      <formula>O2="URGENTE"</formula>
    </cfRule>
    <cfRule type="expression" dxfId="8" priority="50">
      <formula>OR(O2="PROXIMO",O2="PROXIMA")</formula>
    </cfRule>
    <cfRule type="expression" dxfId="7" priority="51">
      <formula>OR(O2="TERMINADA",O2="TERMINADO")</formula>
    </cfRule>
    <cfRule type="expression" dxfId="6" priority="52">
      <formula>O2="SIN ALERTA"</formula>
    </cfRule>
  </conditionalFormatting>
  <conditionalFormatting sqref="P2:P301">
    <cfRule type="expression" dxfId="5" priority="53">
      <formula>P2="ROJO"</formula>
    </cfRule>
    <cfRule type="expression" dxfId="4" priority="54">
      <formula>P2="AMARILLO"</formula>
    </cfRule>
    <cfRule type="expression" dxfId="3" priority="55">
      <formula>P2="VERDE"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899166-8F99-DCD0-6F72-30F8BE509A58}">
            <x14:dataBar>
              <x14:cfvo type="min"/>
              <x14:cfvo type="max"/>
              <x14:negativeFillColor auto="1"/>
              <x14:axisColor auto="1"/>
            </x14:dataBar>
          </x14:cfRule>
          <xm:sqref>L2:L301</xm:sqref>
        </x14:conditionalFormatting>
        <x14:conditionalFormatting xmlns:xm="http://schemas.microsoft.com/office/excel/2006/main">
          <x14:cfRule type="dataBar" id="{661ADE5A-A891-357C-478A-3561B841E19F}">
            <x14:dataBar>
              <x14:cfvo type="min"/>
              <x14:cfvo type="max"/>
              <x14:negativeFillColor auto="1"/>
              <x14:axisColor auto="1"/>
            </x14:dataBar>
          </x14:cfRule>
          <xm:sqref>M2:M301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1">
        <x14:dataValidation type="list" xr:uid="{00000000-0002-0000-0100-000000000000}">
          <x14:formula1>
            <xm:f>Configuracion!$I$2:$I$40</xm:f>
          </x14:formula1>
          <xm:sqref>B2:B301</xm:sqref>
        </x14:dataValidation>
        <x14:dataValidation type="list" xr:uid="{00000000-0002-0000-0100-000001000000}">
          <x14:formula1>
            <xm:f>Configuracion!$D$2:$D$8</xm:f>
          </x14:formula1>
          <xm:sqref>C2:C301</xm:sqref>
        </x14:dataValidation>
        <x14:dataValidation type="list" xr:uid="{00000000-0002-0000-0100-000002000000}">
          <x14:formula1>
            <xm:f>Configuracion!$E$2:$E$8</xm:f>
          </x14:formula1>
          <xm:sqref>F2:F301</xm:sqref>
        </x14:dataValidation>
        <x14:dataValidation type="list" xr:uid="{00000000-0002-0000-0100-000003000000}">
          <x14:formula1>
            <xm:f>Configuracion!$E$2:$E$40</xm:f>
          </x14:formula1>
          <xm:sqref>G2:G301</xm:sqref>
        </x14:dataValidation>
        <x14:dataValidation type="list" xr:uid="{00000000-0002-0000-0100-000004000000}">
          <x14:formula1>
            <xm:f>Configuracion!$B$2:$B$40</xm:f>
          </x14:formula1>
          <xm:sqref>H2:H301</xm:sqref>
        </x14:dataValidation>
        <x14:dataValidation type="list" xr:uid="{00000000-0002-0000-0100-000005000000}">
          <x14:formula1>
            <xm:f>Configuracion!$F$2:$F$11</xm:f>
          </x14:formula1>
          <xm:sqref>Q2:Q301</xm:sqref>
        </x14:dataValidation>
        <x14:dataValidation type="list" xr:uid="{00000000-0002-0000-0100-000006000000}">
          <x14:formula1>
            <xm:f>Configuracion!$G$2:$G$5</xm:f>
          </x14:formula1>
          <xm:sqref>W2:X301</xm:sqref>
        </x14:dataValidation>
        <x14:dataValidation type="list" xr:uid="{00000000-0002-0000-0100-000007000000}">
          <x14:formula1>
            <xm:f>Configuracion!$D$2:$D$40</xm:f>
          </x14:formula1>
          <xm:sqref>D2:D301</xm:sqref>
        </x14:dataValidation>
        <x14:dataValidation type="list" xr:uid="{00000000-0002-0000-0100-000008000000}">
          <x14:formula1>
            <xm:f>Configuracion!$A$2:$A$40</xm:f>
          </x14:formula1>
          <xm:sqref>I2:I301</xm:sqref>
        </x14:dataValidation>
        <x14:dataValidation type="list" xr:uid="{00000000-0002-0000-0100-000009000000}">
          <x14:formula1>
            <xm:f>Configuracion!$F$2:$F$40</xm:f>
          </x14:formula1>
          <xm:sqref>R2:R301</xm:sqref>
        </x14:dataValidation>
        <x14:dataValidation type="list" xr:uid="{00000000-0002-0000-0100-00000B000000}">
          <x14:formula1>
            <xm:f>Configuracion!$G$2:$G$40</xm:f>
          </x14:formula1>
          <xm:sqref>Y2:Y301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02"/>
  <sheetViews>
    <sheetView workbookViewId="0">
      <pane xSplit="6" ySplit="2" topLeftCell="G3" activePane="bottomRight" state="frozen"/>
      <selection pane="topRight"/>
      <selection pane="bottomLeft"/>
      <selection pane="bottomRight" activeCell="G3" sqref="G3"/>
    </sheetView>
  </sheetViews>
  <sheetFormatPr baseColWidth="10" defaultColWidth="9" defaultRowHeight="14.25"/>
  <cols>
    <col min="1" max="1" width="10" customWidth="1"/>
    <col min="2" max="2" width="36" customWidth="1"/>
    <col min="3" max="3" width="18" customWidth="1"/>
    <col min="4" max="5" width="13" customWidth="1"/>
    <col min="6" max="6" width="10" customWidth="1"/>
    <col min="7" max="32" width="9" customWidth="1"/>
  </cols>
  <sheetData>
    <row r="1" spans="1:32">
      <c r="A1" s="77" t="s">
        <v>126</v>
      </c>
      <c r="B1" s="77"/>
      <c r="C1" s="77"/>
      <c r="D1" s="77"/>
      <c r="E1" s="77"/>
      <c r="F1" s="7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7" t="s">
        <v>45</v>
      </c>
      <c r="B2" s="7" t="s">
        <v>55</v>
      </c>
      <c r="C2" s="7" t="s">
        <v>47</v>
      </c>
      <c r="D2" s="7" t="s">
        <v>127</v>
      </c>
      <c r="E2" s="7" t="s">
        <v>48</v>
      </c>
      <c r="F2" s="7" t="s">
        <v>128</v>
      </c>
      <c r="G2" s="8">
        <v>46321</v>
      </c>
      <c r="H2" s="8">
        <v>46328</v>
      </c>
      <c r="I2" s="8">
        <v>46335</v>
      </c>
      <c r="J2" s="8">
        <v>46342</v>
      </c>
      <c r="K2" s="8">
        <v>46349</v>
      </c>
      <c r="L2" s="8">
        <v>46356</v>
      </c>
      <c r="M2" s="8">
        <v>46363</v>
      </c>
      <c r="N2" s="8">
        <v>46370</v>
      </c>
      <c r="O2" s="8">
        <v>46377</v>
      </c>
      <c r="P2" s="8">
        <v>46384</v>
      </c>
      <c r="Q2" s="8">
        <v>46391</v>
      </c>
      <c r="R2" s="8">
        <v>46398</v>
      </c>
      <c r="S2" s="8">
        <v>46405</v>
      </c>
      <c r="T2" s="8">
        <v>46412</v>
      </c>
      <c r="U2" s="8">
        <v>46419</v>
      </c>
      <c r="V2" s="8">
        <v>46426</v>
      </c>
      <c r="W2" s="8">
        <v>46433</v>
      </c>
      <c r="X2" s="8">
        <v>46440</v>
      </c>
      <c r="Y2" s="8">
        <v>46447</v>
      </c>
      <c r="Z2" s="8">
        <v>46454</v>
      </c>
      <c r="AA2" s="8">
        <v>46461</v>
      </c>
      <c r="AB2" s="8">
        <v>46468</v>
      </c>
      <c r="AC2" s="8">
        <v>46475</v>
      </c>
      <c r="AD2" s="8">
        <v>46482</v>
      </c>
      <c r="AE2" s="8">
        <v>46489</v>
      </c>
      <c r="AF2" s="8">
        <v>46496</v>
      </c>
    </row>
    <row r="3" spans="1:32">
      <c r="A3" s="1" t="str">
        <f>'Plan de Tareas'!A2</f>
        <v>CP-001</v>
      </c>
      <c r="B3" s="11" t="str">
        <f>'Plan de Tareas'!F2</f>
        <v>Proceso completo de compra</v>
      </c>
      <c r="C3" s="1" t="str">
        <f>'Plan de Tareas'!G2</f>
        <v>Oscar Arias</v>
      </c>
      <c r="D3" s="9">
        <f>'Plan de Tareas'!J2</f>
        <v>46321</v>
      </c>
      <c r="E3" s="9">
        <f>'Plan de Tareas'!K2</f>
        <v>46356</v>
      </c>
      <c r="F3" s="10">
        <f ca="1">'Plan de Tareas'!M2</f>
        <v>0.25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>
      <c r="A4" s="1" t="str">
        <f>'Plan de Tareas'!A3</f>
        <v>CP-001.1</v>
      </c>
      <c r="B4" s="11" t="str">
        <f>'Plan de Tareas'!F3</f>
        <v>Revisar necesidad y especificaciones</v>
      </c>
      <c r="C4" s="1" t="str">
        <f>'Plan de Tareas'!G3</f>
        <v>Oscar Arias</v>
      </c>
      <c r="D4" s="9">
        <f>'Plan de Tareas'!J3</f>
        <v>46321</v>
      </c>
      <c r="E4" s="9">
        <f>'Plan de Tareas'!K3</f>
        <v>46322</v>
      </c>
      <c r="F4" s="10">
        <f ca="1">'Plan de Tareas'!M3</f>
        <v>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>
      <c r="A5" s="1" t="str">
        <f>'Plan de Tareas'!A4</f>
        <v>CP-001.2</v>
      </c>
      <c r="B5" s="11" t="str">
        <f>'Plan de Tareas'!F4</f>
        <v>Ver precios y referencias de mercado</v>
      </c>
      <c r="C5" s="1" t="str">
        <f>'Plan de Tareas'!G4</f>
        <v>Oscar Arias</v>
      </c>
      <c r="D5" s="9">
        <f>'Plan de Tareas'!J4</f>
        <v>46323</v>
      </c>
      <c r="E5" s="9">
        <f>'Plan de Tareas'!K4</f>
        <v>46324</v>
      </c>
      <c r="F5" s="10">
        <f ca="1">'Plan de Tareas'!M4</f>
        <v>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>
      <c r="A6" s="1" t="str">
        <f>'Plan de Tareas'!A5</f>
        <v>CP-001.3</v>
      </c>
      <c r="B6" s="11" t="str">
        <f>'Plan de Tareas'!F5</f>
        <v>Revisar Convenio Marco / Compra Ágil</v>
      </c>
      <c r="C6" s="1" t="str">
        <f>'Plan de Tareas'!G5</f>
        <v>Oscar Arias</v>
      </c>
      <c r="D6" s="9">
        <f>'Plan de Tareas'!J5</f>
        <v>46325</v>
      </c>
      <c r="E6" s="9">
        <f>'Plan de Tareas'!K5</f>
        <v>46329</v>
      </c>
      <c r="F6" s="10">
        <f ca="1">'Plan de Tareas'!M5</f>
        <v>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>
      <c r="A7" s="1" t="str">
        <f>'Plan de Tareas'!A6</f>
        <v>CP-001.4</v>
      </c>
      <c r="B7" s="11" t="str">
        <f>'Plan de Tareas'!F6</f>
        <v>Preparar y aprobar requerimiento</v>
      </c>
      <c r="C7" s="1" t="str">
        <f>'Plan de Tareas'!G6</f>
        <v>Oscar Arias</v>
      </c>
      <c r="D7" s="9">
        <f>'Plan de Tareas'!J6</f>
        <v>46330</v>
      </c>
      <c r="E7" s="9">
        <f>'Plan de Tareas'!K6</f>
        <v>46332</v>
      </c>
      <c r="F7" s="10">
        <f ca="1">'Plan de Tareas'!M6</f>
        <v>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>
      <c r="A8" s="1" t="str">
        <f>'Plan de Tareas'!A7</f>
        <v>CP-001.5</v>
      </c>
      <c r="B8" s="11" t="str">
        <f>'Plan de Tareas'!F7</f>
        <v>Publicar / emitir proceso de compra</v>
      </c>
      <c r="C8" s="1" t="str">
        <f>'Plan de Tareas'!G7</f>
        <v>Compras</v>
      </c>
      <c r="D8" s="9">
        <f>'Plan de Tareas'!J7</f>
        <v>46335</v>
      </c>
      <c r="E8" s="9">
        <f>'Plan de Tareas'!K7</f>
        <v>46338</v>
      </c>
      <c r="F8" s="10">
        <f ca="1">'Plan de Tareas'!M7</f>
        <v>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>
      <c r="A9" s="1" t="str">
        <f>'Plan de Tareas'!A8</f>
        <v>CP-001.6</v>
      </c>
      <c r="B9" s="11" t="str">
        <f>'Plan de Tareas'!F8</f>
        <v>Evaluación y adjudicación</v>
      </c>
      <c r="C9" s="1" t="str">
        <f>'Plan de Tareas'!G8</f>
        <v>Compras</v>
      </c>
      <c r="D9" s="9">
        <f>'Plan de Tareas'!J8</f>
        <v>46339</v>
      </c>
      <c r="E9" s="9">
        <f>'Plan de Tareas'!K8</f>
        <v>46344</v>
      </c>
      <c r="F9" s="10">
        <f ca="1">'Plan de Tareas'!M8</f>
        <v>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>
      <c r="A10" s="1" t="str">
        <f>'Plan de Tareas'!A9</f>
        <v>CP-001.7</v>
      </c>
      <c r="B10" s="11" t="str">
        <f>'Plan de Tareas'!F9</f>
        <v>Emitir y aceptar Orden de Compra</v>
      </c>
      <c r="C10" s="1" t="str">
        <f>'Plan de Tareas'!G9</f>
        <v>Compras</v>
      </c>
      <c r="D10" s="9">
        <f>'Plan de Tareas'!J9</f>
        <v>46345</v>
      </c>
      <c r="E10" s="9">
        <f>'Plan de Tareas'!K9</f>
        <v>46346</v>
      </c>
      <c r="F10" s="10">
        <f ca="1">'Plan de Tareas'!M9</f>
        <v>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>
      <c r="A11" s="1" t="str">
        <f>'Plan de Tareas'!A10</f>
        <v>CP-001.8</v>
      </c>
      <c r="B11" s="11" t="str">
        <f>'Plan de Tareas'!F10</f>
        <v>Despacho, recepción conforme y cierre</v>
      </c>
      <c r="C11" s="1" t="str">
        <f>'Plan de Tareas'!G10</f>
        <v>Oscar Arias</v>
      </c>
      <c r="D11" s="9">
        <f>'Plan de Tareas'!J10</f>
        <v>46349</v>
      </c>
      <c r="E11" s="9">
        <f>'Plan de Tareas'!K10</f>
        <v>46356</v>
      </c>
      <c r="F11" s="10">
        <f ca="1">'Plan de Tareas'!M10</f>
        <v>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>
      <c r="A12" s="1" t="str">
        <f>'Plan de Tareas'!A11</f>
        <v>ADM-001</v>
      </c>
      <c r="B12" s="11" t="str">
        <f>'Plan de Tareas'!F11</f>
        <v>Elaborar informe administrativo mensual</v>
      </c>
      <c r="C12" s="1" t="str">
        <f>'Plan de Tareas'!G11</f>
        <v>Oscar Arias</v>
      </c>
      <c r="D12" s="9">
        <f>'Plan de Tareas'!J11</f>
        <v>46321</v>
      </c>
      <c r="E12" s="9">
        <f>'Plan de Tareas'!K11</f>
        <v>46325</v>
      </c>
      <c r="F12" s="10">
        <f ca="1">'Plan de Tareas'!M11</f>
        <v>0.2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>
      <c r="A13" s="1">
        <f>'Plan de Tareas'!A12</f>
        <v>0</v>
      </c>
      <c r="B13" s="11">
        <f>'Plan de Tareas'!F12</f>
        <v>0</v>
      </c>
      <c r="C13" s="1">
        <f>'Plan de Tareas'!G12</f>
        <v>0</v>
      </c>
      <c r="D13" s="9">
        <f>'Plan de Tareas'!J12</f>
        <v>0</v>
      </c>
      <c r="E13" s="9">
        <f>'Plan de Tareas'!K12</f>
        <v>0</v>
      </c>
      <c r="F13" s="10" t="str">
        <f ca="1">'Plan de Tareas'!M12</f>
        <v/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>
      <c r="A14" s="1">
        <f>'Plan de Tareas'!A13</f>
        <v>0</v>
      </c>
      <c r="B14" s="11">
        <f>'Plan de Tareas'!F13</f>
        <v>0</v>
      </c>
      <c r="C14" s="1">
        <f>'Plan de Tareas'!G13</f>
        <v>0</v>
      </c>
      <c r="D14" s="9">
        <f>'Plan de Tareas'!J13</f>
        <v>0</v>
      </c>
      <c r="E14" s="9">
        <f>'Plan de Tareas'!K13</f>
        <v>0</v>
      </c>
      <c r="F14" s="10" t="str">
        <f ca="1">'Plan de Tareas'!M13</f>
        <v/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>
      <c r="A15" s="1">
        <f>'Plan de Tareas'!A14</f>
        <v>0</v>
      </c>
      <c r="B15" s="11">
        <f>'Plan de Tareas'!F14</f>
        <v>0</v>
      </c>
      <c r="C15" s="1">
        <f>'Plan de Tareas'!G14</f>
        <v>0</v>
      </c>
      <c r="D15" s="9">
        <f>'Plan de Tareas'!J14</f>
        <v>0</v>
      </c>
      <c r="E15" s="9">
        <f>'Plan de Tareas'!K14</f>
        <v>0</v>
      </c>
      <c r="F15" s="10" t="str">
        <f ca="1">'Plan de Tareas'!M14</f>
        <v/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>
      <c r="A16" s="1">
        <f>'Plan de Tareas'!A15</f>
        <v>0</v>
      </c>
      <c r="B16" s="11">
        <f>'Plan de Tareas'!F15</f>
        <v>0</v>
      </c>
      <c r="C16" s="1">
        <f>'Plan de Tareas'!G15</f>
        <v>0</v>
      </c>
      <c r="D16" s="9">
        <f>'Plan de Tareas'!J15</f>
        <v>0</v>
      </c>
      <c r="E16" s="9">
        <f>'Plan de Tareas'!K15</f>
        <v>0</v>
      </c>
      <c r="F16" s="10" t="str">
        <f ca="1">'Plan de Tareas'!M15</f>
        <v/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>
      <c r="A17" s="1">
        <f>'Plan de Tareas'!A16</f>
        <v>0</v>
      </c>
      <c r="B17" s="11">
        <f>'Plan de Tareas'!F16</f>
        <v>0</v>
      </c>
      <c r="C17" s="1">
        <f>'Plan de Tareas'!G16</f>
        <v>0</v>
      </c>
      <c r="D17" s="9">
        <f>'Plan de Tareas'!J16</f>
        <v>0</v>
      </c>
      <c r="E17" s="9">
        <f>'Plan de Tareas'!K16</f>
        <v>0</v>
      </c>
      <c r="F17" s="10" t="str">
        <f ca="1">'Plan de Tareas'!M16</f>
        <v/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>
      <c r="A18" s="1">
        <f>'Plan de Tareas'!A17</f>
        <v>0</v>
      </c>
      <c r="B18" s="11">
        <f>'Plan de Tareas'!F17</f>
        <v>0</v>
      </c>
      <c r="C18" s="1">
        <f>'Plan de Tareas'!G17</f>
        <v>0</v>
      </c>
      <c r="D18" s="9">
        <f>'Plan de Tareas'!J17</f>
        <v>0</v>
      </c>
      <c r="E18" s="9">
        <f>'Plan de Tareas'!K17</f>
        <v>0</v>
      </c>
      <c r="F18" s="10" t="str">
        <f ca="1">'Plan de Tareas'!M17</f>
        <v/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>
      <c r="A19" s="1">
        <f>'Plan de Tareas'!A18</f>
        <v>0</v>
      </c>
      <c r="B19" s="11">
        <f>'Plan de Tareas'!F18</f>
        <v>0</v>
      </c>
      <c r="C19" s="1">
        <f>'Plan de Tareas'!G18</f>
        <v>0</v>
      </c>
      <c r="D19" s="9">
        <f>'Plan de Tareas'!J18</f>
        <v>0</v>
      </c>
      <c r="E19" s="9">
        <f>'Plan de Tareas'!K18</f>
        <v>0</v>
      </c>
      <c r="F19" s="10" t="str">
        <f ca="1">'Plan de Tareas'!M18</f>
        <v/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>
      <c r="A20" s="1">
        <f>'Plan de Tareas'!A19</f>
        <v>0</v>
      </c>
      <c r="B20" s="11">
        <f>'Plan de Tareas'!F19</f>
        <v>0</v>
      </c>
      <c r="C20" s="1">
        <f>'Plan de Tareas'!G19</f>
        <v>0</v>
      </c>
      <c r="D20" s="9">
        <f>'Plan de Tareas'!J19</f>
        <v>0</v>
      </c>
      <c r="E20" s="9">
        <f>'Plan de Tareas'!K19</f>
        <v>0</v>
      </c>
      <c r="F20" s="10" t="str">
        <f ca="1">'Plan de Tareas'!M19</f>
        <v/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>
      <c r="A21" s="1">
        <f>'Plan de Tareas'!A20</f>
        <v>0</v>
      </c>
      <c r="B21" s="11">
        <f>'Plan de Tareas'!F20</f>
        <v>0</v>
      </c>
      <c r="C21" s="1">
        <f>'Plan de Tareas'!G20</f>
        <v>0</v>
      </c>
      <c r="D21" s="9">
        <f>'Plan de Tareas'!J20</f>
        <v>0</v>
      </c>
      <c r="E21" s="9">
        <f>'Plan de Tareas'!K20</f>
        <v>0</v>
      </c>
      <c r="F21" s="10" t="str">
        <f ca="1">'Plan de Tareas'!M20</f>
        <v/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>
      <c r="A22" s="1">
        <f>'Plan de Tareas'!A21</f>
        <v>0</v>
      </c>
      <c r="B22" s="11">
        <f>'Plan de Tareas'!F21</f>
        <v>0</v>
      </c>
      <c r="C22" s="1">
        <f>'Plan de Tareas'!G21</f>
        <v>0</v>
      </c>
      <c r="D22" s="9">
        <f>'Plan de Tareas'!J21</f>
        <v>0</v>
      </c>
      <c r="E22" s="9">
        <f>'Plan de Tareas'!K21</f>
        <v>0</v>
      </c>
      <c r="F22" s="10" t="str">
        <f ca="1">'Plan de Tareas'!M21</f>
        <v/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>
      <c r="A23" s="1">
        <f>'Plan de Tareas'!A22</f>
        <v>0</v>
      </c>
      <c r="B23" s="11">
        <f>'Plan de Tareas'!F22</f>
        <v>0</v>
      </c>
      <c r="C23" s="1">
        <f>'Plan de Tareas'!G22</f>
        <v>0</v>
      </c>
      <c r="D23" s="9">
        <f>'Plan de Tareas'!J22</f>
        <v>0</v>
      </c>
      <c r="E23" s="9">
        <f>'Plan de Tareas'!K22</f>
        <v>0</v>
      </c>
      <c r="F23" s="10" t="str">
        <f ca="1">'Plan de Tareas'!M22</f>
        <v/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>
      <c r="A24" s="1">
        <f>'Plan de Tareas'!A23</f>
        <v>0</v>
      </c>
      <c r="B24" s="11">
        <f>'Plan de Tareas'!F23</f>
        <v>0</v>
      </c>
      <c r="C24" s="1">
        <f>'Plan de Tareas'!G23</f>
        <v>0</v>
      </c>
      <c r="D24" s="9">
        <f>'Plan de Tareas'!J23</f>
        <v>0</v>
      </c>
      <c r="E24" s="9">
        <f>'Plan de Tareas'!K23</f>
        <v>0</v>
      </c>
      <c r="F24" s="10" t="str">
        <f ca="1">'Plan de Tareas'!M23</f>
        <v/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>
      <c r="A25" s="1">
        <f>'Plan de Tareas'!A24</f>
        <v>0</v>
      </c>
      <c r="B25" s="11">
        <f>'Plan de Tareas'!F24</f>
        <v>0</v>
      </c>
      <c r="C25" s="1">
        <f>'Plan de Tareas'!G24</f>
        <v>0</v>
      </c>
      <c r="D25" s="9">
        <f>'Plan de Tareas'!J24</f>
        <v>0</v>
      </c>
      <c r="E25" s="9">
        <f>'Plan de Tareas'!K24</f>
        <v>0</v>
      </c>
      <c r="F25" s="10" t="str">
        <f ca="1">'Plan de Tareas'!M24</f>
        <v/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>
      <c r="A26" s="1">
        <f>'Plan de Tareas'!A25</f>
        <v>0</v>
      </c>
      <c r="B26" s="11">
        <f>'Plan de Tareas'!F25</f>
        <v>0</v>
      </c>
      <c r="C26" s="1">
        <f>'Plan de Tareas'!G25</f>
        <v>0</v>
      </c>
      <c r="D26" s="9">
        <f>'Plan de Tareas'!J25</f>
        <v>0</v>
      </c>
      <c r="E26" s="9">
        <f>'Plan de Tareas'!K25</f>
        <v>0</v>
      </c>
      <c r="F26" s="10" t="str">
        <f ca="1">'Plan de Tareas'!M25</f>
        <v/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>
      <c r="A27" s="1">
        <f>'Plan de Tareas'!A26</f>
        <v>0</v>
      </c>
      <c r="B27" s="11">
        <f>'Plan de Tareas'!F26</f>
        <v>0</v>
      </c>
      <c r="C27" s="1">
        <f>'Plan de Tareas'!G26</f>
        <v>0</v>
      </c>
      <c r="D27" s="9">
        <f>'Plan de Tareas'!J26</f>
        <v>0</v>
      </c>
      <c r="E27" s="9">
        <f>'Plan de Tareas'!K26</f>
        <v>0</v>
      </c>
      <c r="F27" s="10" t="str">
        <f ca="1">'Plan de Tareas'!M26</f>
        <v/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>
      <c r="A28" s="1">
        <f>'Plan de Tareas'!A27</f>
        <v>0</v>
      </c>
      <c r="B28" s="11">
        <f>'Plan de Tareas'!F27</f>
        <v>0</v>
      </c>
      <c r="C28" s="1">
        <f>'Plan de Tareas'!G27</f>
        <v>0</v>
      </c>
      <c r="D28" s="9">
        <f>'Plan de Tareas'!J27</f>
        <v>0</v>
      </c>
      <c r="E28" s="9">
        <f>'Plan de Tareas'!K27</f>
        <v>0</v>
      </c>
      <c r="F28" s="10" t="str">
        <f ca="1">'Plan de Tareas'!M27</f>
        <v/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>
      <c r="A29" s="1">
        <f>'Plan de Tareas'!A28</f>
        <v>0</v>
      </c>
      <c r="B29" s="11">
        <f>'Plan de Tareas'!F28</f>
        <v>0</v>
      </c>
      <c r="C29" s="1">
        <f>'Plan de Tareas'!G28</f>
        <v>0</v>
      </c>
      <c r="D29" s="9">
        <f>'Plan de Tareas'!J28</f>
        <v>0</v>
      </c>
      <c r="E29" s="9">
        <f>'Plan de Tareas'!K28</f>
        <v>0</v>
      </c>
      <c r="F29" s="10" t="str">
        <f ca="1">'Plan de Tareas'!M28</f>
        <v/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>
      <c r="A30" s="1">
        <f>'Plan de Tareas'!A29</f>
        <v>0</v>
      </c>
      <c r="B30" s="11">
        <f>'Plan de Tareas'!F29</f>
        <v>0</v>
      </c>
      <c r="C30" s="1">
        <f>'Plan de Tareas'!G29</f>
        <v>0</v>
      </c>
      <c r="D30" s="9">
        <f>'Plan de Tareas'!J29</f>
        <v>0</v>
      </c>
      <c r="E30" s="9">
        <f>'Plan de Tareas'!K29</f>
        <v>0</v>
      </c>
      <c r="F30" s="10" t="str">
        <f ca="1">'Plan de Tareas'!M29</f>
        <v/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>
      <c r="A31" s="1">
        <f>'Plan de Tareas'!A30</f>
        <v>0</v>
      </c>
      <c r="B31" s="11">
        <f>'Plan de Tareas'!F30</f>
        <v>0</v>
      </c>
      <c r="C31" s="1">
        <f>'Plan de Tareas'!G30</f>
        <v>0</v>
      </c>
      <c r="D31" s="9">
        <f>'Plan de Tareas'!J30</f>
        <v>0</v>
      </c>
      <c r="E31" s="9">
        <f>'Plan de Tareas'!K30</f>
        <v>0</v>
      </c>
      <c r="F31" s="10" t="str">
        <f ca="1">'Plan de Tareas'!M30</f>
        <v/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>
      <c r="A32" s="1">
        <f>'Plan de Tareas'!A31</f>
        <v>0</v>
      </c>
      <c r="B32" s="11">
        <f>'Plan de Tareas'!F31</f>
        <v>0</v>
      </c>
      <c r="C32" s="1">
        <f>'Plan de Tareas'!G31</f>
        <v>0</v>
      </c>
      <c r="D32" s="9">
        <f>'Plan de Tareas'!J31</f>
        <v>0</v>
      </c>
      <c r="E32" s="9">
        <f>'Plan de Tareas'!K31</f>
        <v>0</v>
      </c>
      <c r="F32" s="10" t="str">
        <f ca="1">'Plan de Tareas'!M31</f>
        <v/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>
      <c r="A33" s="1">
        <f>'Plan de Tareas'!A32</f>
        <v>0</v>
      </c>
      <c r="B33" s="11">
        <f>'Plan de Tareas'!F32</f>
        <v>0</v>
      </c>
      <c r="C33" s="1">
        <f>'Plan de Tareas'!G32</f>
        <v>0</v>
      </c>
      <c r="D33" s="9">
        <f>'Plan de Tareas'!J32</f>
        <v>0</v>
      </c>
      <c r="E33" s="9">
        <f>'Plan de Tareas'!K32</f>
        <v>0</v>
      </c>
      <c r="F33" s="10" t="str">
        <f ca="1">'Plan de Tareas'!M32</f>
        <v/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>
      <c r="A34" s="1">
        <f>'Plan de Tareas'!A33</f>
        <v>0</v>
      </c>
      <c r="B34" s="11">
        <f>'Plan de Tareas'!F33</f>
        <v>0</v>
      </c>
      <c r="C34" s="1">
        <f>'Plan de Tareas'!G33</f>
        <v>0</v>
      </c>
      <c r="D34" s="9">
        <f>'Plan de Tareas'!J33</f>
        <v>0</v>
      </c>
      <c r="E34" s="9">
        <f>'Plan de Tareas'!K33</f>
        <v>0</v>
      </c>
      <c r="F34" s="10" t="str">
        <f ca="1">'Plan de Tareas'!M33</f>
        <v/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>
      <c r="A35" s="1">
        <f>'Plan de Tareas'!A34</f>
        <v>0</v>
      </c>
      <c r="B35" s="11">
        <f>'Plan de Tareas'!F34</f>
        <v>0</v>
      </c>
      <c r="C35" s="1">
        <f>'Plan de Tareas'!G34</f>
        <v>0</v>
      </c>
      <c r="D35" s="9">
        <f>'Plan de Tareas'!J34</f>
        <v>0</v>
      </c>
      <c r="E35" s="9">
        <f>'Plan de Tareas'!K34</f>
        <v>0</v>
      </c>
      <c r="F35" s="10" t="str">
        <f ca="1">'Plan de Tareas'!M34</f>
        <v/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>
      <c r="A36" s="1">
        <f>'Plan de Tareas'!A35</f>
        <v>0</v>
      </c>
      <c r="B36" s="11">
        <f>'Plan de Tareas'!F35</f>
        <v>0</v>
      </c>
      <c r="C36" s="1">
        <f>'Plan de Tareas'!G35</f>
        <v>0</v>
      </c>
      <c r="D36" s="9">
        <f>'Plan de Tareas'!J35</f>
        <v>0</v>
      </c>
      <c r="E36" s="9">
        <f>'Plan de Tareas'!K35</f>
        <v>0</v>
      </c>
      <c r="F36" s="10" t="str">
        <f ca="1">'Plan de Tareas'!M35</f>
        <v/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>
      <c r="A37" s="1">
        <f>'Plan de Tareas'!A36</f>
        <v>0</v>
      </c>
      <c r="B37" s="11">
        <f>'Plan de Tareas'!F36</f>
        <v>0</v>
      </c>
      <c r="C37" s="1">
        <f>'Plan de Tareas'!G36</f>
        <v>0</v>
      </c>
      <c r="D37" s="9">
        <f>'Plan de Tareas'!J36</f>
        <v>0</v>
      </c>
      <c r="E37" s="9">
        <f>'Plan de Tareas'!K36</f>
        <v>0</v>
      </c>
      <c r="F37" s="10" t="str">
        <f ca="1">'Plan de Tareas'!M36</f>
        <v/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>
      <c r="A38" s="1">
        <f>'Plan de Tareas'!A37</f>
        <v>0</v>
      </c>
      <c r="B38" s="11">
        <f>'Plan de Tareas'!F37</f>
        <v>0</v>
      </c>
      <c r="C38" s="1">
        <f>'Plan de Tareas'!G37</f>
        <v>0</v>
      </c>
      <c r="D38" s="9">
        <f>'Plan de Tareas'!J37</f>
        <v>0</v>
      </c>
      <c r="E38" s="9">
        <f>'Plan de Tareas'!K37</f>
        <v>0</v>
      </c>
      <c r="F38" s="10" t="str">
        <f ca="1">'Plan de Tareas'!M37</f>
        <v/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>
      <c r="A39" s="1">
        <f>'Plan de Tareas'!A38</f>
        <v>0</v>
      </c>
      <c r="B39" s="11">
        <f>'Plan de Tareas'!F38</f>
        <v>0</v>
      </c>
      <c r="C39" s="1">
        <f>'Plan de Tareas'!G38</f>
        <v>0</v>
      </c>
      <c r="D39" s="9">
        <f>'Plan de Tareas'!J38</f>
        <v>0</v>
      </c>
      <c r="E39" s="9">
        <f>'Plan de Tareas'!K38</f>
        <v>0</v>
      </c>
      <c r="F39" s="10" t="str">
        <f ca="1">'Plan de Tareas'!M38</f>
        <v/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>
      <c r="A40" s="1">
        <f>'Plan de Tareas'!A39</f>
        <v>0</v>
      </c>
      <c r="B40" s="11">
        <f>'Plan de Tareas'!F39</f>
        <v>0</v>
      </c>
      <c r="C40" s="1">
        <f>'Plan de Tareas'!G39</f>
        <v>0</v>
      </c>
      <c r="D40" s="9">
        <f>'Plan de Tareas'!J39</f>
        <v>0</v>
      </c>
      <c r="E40" s="9">
        <f>'Plan de Tareas'!K39</f>
        <v>0</v>
      </c>
      <c r="F40" s="10" t="str">
        <f ca="1">'Plan de Tareas'!M39</f>
        <v/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>
      <c r="A41" s="1">
        <f>'Plan de Tareas'!A40</f>
        <v>0</v>
      </c>
      <c r="B41" s="11">
        <f>'Plan de Tareas'!F40</f>
        <v>0</v>
      </c>
      <c r="C41" s="1">
        <f>'Plan de Tareas'!G40</f>
        <v>0</v>
      </c>
      <c r="D41" s="9">
        <f>'Plan de Tareas'!J40</f>
        <v>0</v>
      </c>
      <c r="E41" s="9">
        <f>'Plan de Tareas'!K40</f>
        <v>0</v>
      </c>
      <c r="F41" s="10" t="str">
        <f ca="1">'Plan de Tareas'!M40</f>
        <v/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>
      <c r="A42" s="1">
        <f>'Plan de Tareas'!A41</f>
        <v>0</v>
      </c>
      <c r="B42" s="11">
        <f>'Plan de Tareas'!F41</f>
        <v>0</v>
      </c>
      <c r="C42" s="1">
        <f>'Plan de Tareas'!G41</f>
        <v>0</v>
      </c>
      <c r="D42" s="9">
        <f>'Plan de Tareas'!J41</f>
        <v>0</v>
      </c>
      <c r="E42" s="9">
        <f>'Plan de Tareas'!K41</f>
        <v>0</v>
      </c>
      <c r="F42" s="10" t="str">
        <f ca="1">'Plan de Tareas'!M41</f>
        <v/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>
      <c r="A43" s="1">
        <f>'Plan de Tareas'!A42</f>
        <v>0</v>
      </c>
      <c r="B43" s="11">
        <f>'Plan de Tareas'!F42</f>
        <v>0</v>
      </c>
      <c r="C43" s="1">
        <f>'Plan de Tareas'!G42</f>
        <v>0</v>
      </c>
      <c r="D43" s="9">
        <f>'Plan de Tareas'!J42</f>
        <v>0</v>
      </c>
      <c r="E43" s="9">
        <f>'Plan de Tareas'!K42</f>
        <v>0</v>
      </c>
      <c r="F43" s="10" t="str">
        <f ca="1">'Plan de Tareas'!M42</f>
        <v/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>
      <c r="A44" s="1">
        <f>'Plan de Tareas'!A43</f>
        <v>0</v>
      </c>
      <c r="B44" s="11">
        <f>'Plan de Tareas'!F43</f>
        <v>0</v>
      </c>
      <c r="C44" s="1">
        <f>'Plan de Tareas'!G43</f>
        <v>0</v>
      </c>
      <c r="D44" s="9">
        <f>'Plan de Tareas'!J43</f>
        <v>0</v>
      </c>
      <c r="E44" s="9">
        <f>'Plan de Tareas'!K43</f>
        <v>0</v>
      </c>
      <c r="F44" s="10" t="str">
        <f ca="1">'Plan de Tareas'!M43</f>
        <v/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>
      <c r="A45" s="1">
        <f>'Plan de Tareas'!A44</f>
        <v>0</v>
      </c>
      <c r="B45" s="11">
        <f>'Plan de Tareas'!F44</f>
        <v>0</v>
      </c>
      <c r="C45" s="1">
        <f>'Plan de Tareas'!G44</f>
        <v>0</v>
      </c>
      <c r="D45" s="9">
        <f>'Plan de Tareas'!J44</f>
        <v>0</v>
      </c>
      <c r="E45" s="9">
        <f>'Plan de Tareas'!K44</f>
        <v>0</v>
      </c>
      <c r="F45" s="10" t="str">
        <f ca="1">'Plan de Tareas'!M44</f>
        <v/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>
      <c r="A46" s="1">
        <f>'Plan de Tareas'!A45</f>
        <v>0</v>
      </c>
      <c r="B46" s="11">
        <f>'Plan de Tareas'!F45</f>
        <v>0</v>
      </c>
      <c r="C46" s="1">
        <f>'Plan de Tareas'!G45</f>
        <v>0</v>
      </c>
      <c r="D46" s="9">
        <f>'Plan de Tareas'!J45</f>
        <v>0</v>
      </c>
      <c r="E46" s="9">
        <f>'Plan de Tareas'!K45</f>
        <v>0</v>
      </c>
      <c r="F46" s="10" t="str">
        <f ca="1">'Plan de Tareas'!M45</f>
        <v/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>
      <c r="A47" s="1">
        <f>'Plan de Tareas'!A46</f>
        <v>0</v>
      </c>
      <c r="B47" s="11">
        <f>'Plan de Tareas'!F46</f>
        <v>0</v>
      </c>
      <c r="C47" s="1">
        <f>'Plan de Tareas'!G46</f>
        <v>0</v>
      </c>
      <c r="D47" s="9">
        <f>'Plan de Tareas'!J46</f>
        <v>0</v>
      </c>
      <c r="E47" s="9">
        <f>'Plan de Tareas'!K46</f>
        <v>0</v>
      </c>
      <c r="F47" s="10" t="str">
        <f ca="1">'Plan de Tareas'!M46</f>
        <v/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>
      <c r="A48" s="1">
        <f>'Plan de Tareas'!A47</f>
        <v>0</v>
      </c>
      <c r="B48" s="11">
        <f>'Plan de Tareas'!F47</f>
        <v>0</v>
      </c>
      <c r="C48" s="1">
        <f>'Plan de Tareas'!G47</f>
        <v>0</v>
      </c>
      <c r="D48" s="9">
        <f>'Plan de Tareas'!J47</f>
        <v>0</v>
      </c>
      <c r="E48" s="9">
        <f>'Plan de Tareas'!K47</f>
        <v>0</v>
      </c>
      <c r="F48" s="10" t="str">
        <f ca="1">'Plan de Tareas'!M47</f>
        <v/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>
      <c r="A49" s="1">
        <f>'Plan de Tareas'!A48</f>
        <v>0</v>
      </c>
      <c r="B49" s="11">
        <f>'Plan de Tareas'!F48</f>
        <v>0</v>
      </c>
      <c r="C49" s="1">
        <f>'Plan de Tareas'!G48</f>
        <v>0</v>
      </c>
      <c r="D49" s="9">
        <f>'Plan de Tareas'!J48</f>
        <v>0</v>
      </c>
      <c r="E49" s="9">
        <f>'Plan de Tareas'!K48</f>
        <v>0</v>
      </c>
      <c r="F49" s="10" t="str">
        <f ca="1">'Plan de Tareas'!M48</f>
        <v/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>
      <c r="A50" s="1">
        <f>'Plan de Tareas'!A49</f>
        <v>0</v>
      </c>
      <c r="B50" s="11">
        <f>'Plan de Tareas'!F49</f>
        <v>0</v>
      </c>
      <c r="C50" s="1">
        <f>'Plan de Tareas'!G49</f>
        <v>0</v>
      </c>
      <c r="D50" s="9">
        <f>'Plan de Tareas'!J49</f>
        <v>0</v>
      </c>
      <c r="E50" s="9">
        <f>'Plan de Tareas'!K49</f>
        <v>0</v>
      </c>
      <c r="F50" s="10" t="str">
        <f ca="1">'Plan de Tareas'!M49</f>
        <v/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>
      <c r="A51" s="1">
        <f>'Plan de Tareas'!A50</f>
        <v>0</v>
      </c>
      <c r="B51" s="11">
        <f>'Plan de Tareas'!F50</f>
        <v>0</v>
      </c>
      <c r="C51" s="1">
        <f>'Plan de Tareas'!G50</f>
        <v>0</v>
      </c>
      <c r="D51" s="9">
        <f>'Plan de Tareas'!J50</f>
        <v>0</v>
      </c>
      <c r="E51" s="9">
        <f>'Plan de Tareas'!K50</f>
        <v>0</v>
      </c>
      <c r="F51" s="10" t="str">
        <f ca="1">'Plan de Tareas'!M50</f>
        <v/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>
      <c r="A52" s="1">
        <f>'Plan de Tareas'!A51</f>
        <v>0</v>
      </c>
      <c r="B52" s="11">
        <f>'Plan de Tareas'!F51</f>
        <v>0</v>
      </c>
      <c r="C52" s="1">
        <f>'Plan de Tareas'!G51</f>
        <v>0</v>
      </c>
      <c r="D52" s="9">
        <f>'Plan de Tareas'!J51</f>
        <v>0</v>
      </c>
      <c r="E52" s="9">
        <f>'Plan de Tareas'!K51</f>
        <v>0</v>
      </c>
      <c r="F52" s="10" t="str">
        <f ca="1">'Plan de Tareas'!M51</f>
        <v/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>
      <c r="A53" s="1">
        <f>'Plan de Tareas'!A52</f>
        <v>0</v>
      </c>
      <c r="B53" s="11">
        <f>'Plan de Tareas'!F52</f>
        <v>0</v>
      </c>
      <c r="C53" s="1">
        <f>'Plan de Tareas'!G52</f>
        <v>0</v>
      </c>
      <c r="D53" s="9">
        <f>'Plan de Tareas'!J52</f>
        <v>0</v>
      </c>
      <c r="E53" s="9">
        <f>'Plan de Tareas'!K52</f>
        <v>0</v>
      </c>
      <c r="F53" s="10" t="str">
        <f ca="1">'Plan de Tareas'!M52</f>
        <v/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>
      <c r="A54" s="1">
        <f>'Plan de Tareas'!A53</f>
        <v>0</v>
      </c>
      <c r="B54" s="11">
        <f>'Plan de Tareas'!F53</f>
        <v>0</v>
      </c>
      <c r="C54" s="1">
        <f>'Plan de Tareas'!G53</f>
        <v>0</v>
      </c>
      <c r="D54" s="9">
        <f>'Plan de Tareas'!J53</f>
        <v>0</v>
      </c>
      <c r="E54" s="9">
        <f>'Plan de Tareas'!K53</f>
        <v>0</v>
      </c>
      <c r="F54" s="10" t="str">
        <f ca="1">'Plan de Tareas'!M53</f>
        <v/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>
      <c r="A55" s="1">
        <f>'Plan de Tareas'!A54</f>
        <v>0</v>
      </c>
      <c r="B55" s="11">
        <f>'Plan de Tareas'!F54</f>
        <v>0</v>
      </c>
      <c r="C55" s="1">
        <f>'Plan de Tareas'!G54</f>
        <v>0</v>
      </c>
      <c r="D55" s="9">
        <f>'Plan de Tareas'!J54</f>
        <v>0</v>
      </c>
      <c r="E55" s="9">
        <f>'Plan de Tareas'!K54</f>
        <v>0</v>
      </c>
      <c r="F55" s="10" t="str">
        <f ca="1">'Plan de Tareas'!M54</f>
        <v/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>
      <c r="A56" s="1">
        <f>'Plan de Tareas'!A55</f>
        <v>0</v>
      </c>
      <c r="B56" s="11">
        <f>'Plan de Tareas'!F55</f>
        <v>0</v>
      </c>
      <c r="C56" s="1">
        <f>'Plan de Tareas'!G55</f>
        <v>0</v>
      </c>
      <c r="D56" s="9">
        <f>'Plan de Tareas'!J55</f>
        <v>0</v>
      </c>
      <c r="E56" s="9">
        <f>'Plan de Tareas'!K55</f>
        <v>0</v>
      </c>
      <c r="F56" s="10" t="str">
        <f ca="1">'Plan de Tareas'!M55</f>
        <v/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>
      <c r="A57" s="1">
        <f>'Plan de Tareas'!A56</f>
        <v>0</v>
      </c>
      <c r="B57" s="11">
        <f>'Plan de Tareas'!F56</f>
        <v>0</v>
      </c>
      <c r="C57" s="1">
        <f>'Plan de Tareas'!G56</f>
        <v>0</v>
      </c>
      <c r="D57" s="9">
        <f>'Plan de Tareas'!J56</f>
        <v>0</v>
      </c>
      <c r="E57" s="9">
        <f>'Plan de Tareas'!K56</f>
        <v>0</v>
      </c>
      <c r="F57" s="10" t="str">
        <f ca="1">'Plan de Tareas'!M56</f>
        <v/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>
      <c r="A58" s="1">
        <f>'Plan de Tareas'!A57</f>
        <v>0</v>
      </c>
      <c r="B58" s="11">
        <f>'Plan de Tareas'!F57</f>
        <v>0</v>
      </c>
      <c r="C58" s="1">
        <f>'Plan de Tareas'!G57</f>
        <v>0</v>
      </c>
      <c r="D58" s="9">
        <f>'Plan de Tareas'!J57</f>
        <v>0</v>
      </c>
      <c r="E58" s="9">
        <f>'Plan de Tareas'!K57</f>
        <v>0</v>
      </c>
      <c r="F58" s="10" t="str">
        <f ca="1">'Plan de Tareas'!M57</f>
        <v/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>
      <c r="A59" s="1">
        <f>'Plan de Tareas'!A58</f>
        <v>0</v>
      </c>
      <c r="B59" s="11">
        <f>'Plan de Tareas'!F58</f>
        <v>0</v>
      </c>
      <c r="C59" s="1">
        <f>'Plan de Tareas'!G58</f>
        <v>0</v>
      </c>
      <c r="D59" s="9">
        <f>'Plan de Tareas'!J58</f>
        <v>0</v>
      </c>
      <c r="E59" s="9">
        <f>'Plan de Tareas'!K58</f>
        <v>0</v>
      </c>
      <c r="F59" s="10" t="str">
        <f ca="1">'Plan de Tareas'!M58</f>
        <v/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>
      <c r="A60" s="1">
        <f>'Plan de Tareas'!A59</f>
        <v>0</v>
      </c>
      <c r="B60" s="11">
        <f>'Plan de Tareas'!F59</f>
        <v>0</v>
      </c>
      <c r="C60" s="1">
        <f>'Plan de Tareas'!G59</f>
        <v>0</v>
      </c>
      <c r="D60" s="9">
        <f>'Plan de Tareas'!J59</f>
        <v>0</v>
      </c>
      <c r="E60" s="9">
        <f>'Plan de Tareas'!K59</f>
        <v>0</v>
      </c>
      <c r="F60" s="10" t="str">
        <f ca="1">'Plan de Tareas'!M59</f>
        <v/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>
      <c r="A61" s="1">
        <f>'Plan de Tareas'!A60</f>
        <v>0</v>
      </c>
      <c r="B61" s="11">
        <f>'Plan de Tareas'!F60</f>
        <v>0</v>
      </c>
      <c r="C61" s="1">
        <f>'Plan de Tareas'!G60</f>
        <v>0</v>
      </c>
      <c r="D61" s="9">
        <f>'Plan de Tareas'!J60</f>
        <v>0</v>
      </c>
      <c r="E61" s="9">
        <f>'Plan de Tareas'!K60</f>
        <v>0</v>
      </c>
      <c r="F61" s="10" t="str">
        <f ca="1">'Plan de Tareas'!M60</f>
        <v/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>
      <c r="A62" s="1">
        <f>'Plan de Tareas'!A61</f>
        <v>0</v>
      </c>
      <c r="B62" s="11">
        <f>'Plan de Tareas'!F61</f>
        <v>0</v>
      </c>
      <c r="C62" s="1">
        <f>'Plan de Tareas'!G61</f>
        <v>0</v>
      </c>
      <c r="D62" s="9">
        <f>'Plan de Tareas'!J61</f>
        <v>0</v>
      </c>
      <c r="E62" s="9">
        <f>'Plan de Tareas'!K61</f>
        <v>0</v>
      </c>
      <c r="F62" s="10" t="str">
        <f ca="1">'Plan de Tareas'!M61</f>
        <v/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>
      <c r="A63" s="1">
        <f>'Plan de Tareas'!A62</f>
        <v>0</v>
      </c>
      <c r="B63" s="11">
        <f>'Plan de Tareas'!F62</f>
        <v>0</v>
      </c>
      <c r="C63" s="1">
        <f>'Plan de Tareas'!G62</f>
        <v>0</v>
      </c>
      <c r="D63" s="9">
        <f>'Plan de Tareas'!J62</f>
        <v>0</v>
      </c>
      <c r="E63" s="9">
        <f>'Plan de Tareas'!K62</f>
        <v>0</v>
      </c>
      <c r="F63" s="10" t="str">
        <f ca="1">'Plan de Tareas'!M62</f>
        <v/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>
      <c r="A64" s="1">
        <f>'Plan de Tareas'!A63</f>
        <v>0</v>
      </c>
      <c r="B64" s="11">
        <f>'Plan de Tareas'!F63</f>
        <v>0</v>
      </c>
      <c r="C64" s="1">
        <f>'Plan de Tareas'!G63</f>
        <v>0</v>
      </c>
      <c r="D64" s="9">
        <f>'Plan de Tareas'!J63</f>
        <v>0</v>
      </c>
      <c r="E64" s="9">
        <f>'Plan de Tareas'!K63</f>
        <v>0</v>
      </c>
      <c r="F64" s="10" t="str">
        <f ca="1">'Plan de Tareas'!M63</f>
        <v/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>
      <c r="A65" s="1">
        <f>'Plan de Tareas'!A64</f>
        <v>0</v>
      </c>
      <c r="B65" s="11">
        <f>'Plan de Tareas'!F64</f>
        <v>0</v>
      </c>
      <c r="C65" s="1">
        <f>'Plan de Tareas'!G64</f>
        <v>0</v>
      </c>
      <c r="D65" s="9">
        <f>'Plan de Tareas'!J64</f>
        <v>0</v>
      </c>
      <c r="E65" s="9">
        <f>'Plan de Tareas'!K64</f>
        <v>0</v>
      </c>
      <c r="F65" s="10" t="str">
        <f ca="1">'Plan de Tareas'!M64</f>
        <v/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>
      <c r="A66" s="1">
        <f>'Plan de Tareas'!A65</f>
        <v>0</v>
      </c>
      <c r="B66" s="11">
        <f>'Plan de Tareas'!F65</f>
        <v>0</v>
      </c>
      <c r="C66" s="1">
        <f>'Plan de Tareas'!G65</f>
        <v>0</v>
      </c>
      <c r="D66" s="9">
        <f>'Plan de Tareas'!J65</f>
        <v>0</v>
      </c>
      <c r="E66" s="9">
        <f>'Plan de Tareas'!K65</f>
        <v>0</v>
      </c>
      <c r="F66" s="10" t="str">
        <f ca="1">'Plan de Tareas'!M65</f>
        <v/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>
      <c r="A67" s="1">
        <f>'Plan de Tareas'!A66</f>
        <v>0</v>
      </c>
      <c r="B67" s="11">
        <f>'Plan de Tareas'!F66</f>
        <v>0</v>
      </c>
      <c r="C67" s="1">
        <f>'Plan de Tareas'!G66</f>
        <v>0</v>
      </c>
      <c r="D67" s="9">
        <f>'Plan de Tareas'!J66</f>
        <v>0</v>
      </c>
      <c r="E67" s="9">
        <f>'Plan de Tareas'!K66</f>
        <v>0</v>
      </c>
      <c r="F67" s="10" t="str">
        <f ca="1">'Plan de Tareas'!M66</f>
        <v/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>
      <c r="A68" s="1">
        <f>'Plan de Tareas'!A67</f>
        <v>0</v>
      </c>
      <c r="B68" s="11">
        <f>'Plan de Tareas'!F67</f>
        <v>0</v>
      </c>
      <c r="C68" s="1">
        <f>'Plan de Tareas'!G67</f>
        <v>0</v>
      </c>
      <c r="D68" s="9">
        <f>'Plan de Tareas'!J67</f>
        <v>0</v>
      </c>
      <c r="E68" s="9">
        <f>'Plan de Tareas'!K67</f>
        <v>0</v>
      </c>
      <c r="F68" s="10" t="str">
        <f ca="1">'Plan de Tareas'!M67</f>
        <v/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>
      <c r="A69" s="1">
        <f>'Plan de Tareas'!A68</f>
        <v>0</v>
      </c>
      <c r="B69" s="11">
        <f>'Plan de Tareas'!F68</f>
        <v>0</v>
      </c>
      <c r="C69" s="1">
        <f>'Plan de Tareas'!G68</f>
        <v>0</v>
      </c>
      <c r="D69" s="9">
        <f>'Plan de Tareas'!J68</f>
        <v>0</v>
      </c>
      <c r="E69" s="9">
        <f>'Plan de Tareas'!K68</f>
        <v>0</v>
      </c>
      <c r="F69" s="10" t="str">
        <f ca="1">'Plan de Tareas'!M68</f>
        <v/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>
      <c r="A70" s="1">
        <f>'Plan de Tareas'!A69</f>
        <v>0</v>
      </c>
      <c r="B70" s="11">
        <f>'Plan de Tareas'!F69</f>
        <v>0</v>
      </c>
      <c r="C70" s="1">
        <f>'Plan de Tareas'!G69</f>
        <v>0</v>
      </c>
      <c r="D70" s="9">
        <f>'Plan de Tareas'!J69</f>
        <v>0</v>
      </c>
      <c r="E70" s="9">
        <f>'Plan de Tareas'!K69</f>
        <v>0</v>
      </c>
      <c r="F70" s="10" t="str">
        <f ca="1">'Plan de Tareas'!M69</f>
        <v/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>
      <c r="A71" s="1">
        <f>'Plan de Tareas'!A70</f>
        <v>0</v>
      </c>
      <c r="B71" s="11">
        <f>'Plan de Tareas'!F70</f>
        <v>0</v>
      </c>
      <c r="C71" s="1">
        <f>'Plan de Tareas'!G70</f>
        <v>0</v>
      </c>
      <c r="D71" s="9">
        <f>'Plan de Tareas'!J70</f>
        <v>0</v>
      </c>
      <c r="E71" s="9">
        <f>'Plan de Tareas'!K70</f>
        <v>0</v>
      </c>
      <c r="F71" s="10" t="str">
        <f ca="1">'Plan de Tareas'!M70</f>
        <v/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>
      <c r="A72" s="1">
        <f>'Plan de Tareas'!A71</f>
        <v>0</v>
      </c>
      <c r="B72" s="11">
        <f>'Plan de Tareas'!F71</f>
        <v>0</v>
      </c>
      <c r="C72" s="1">
        <f>'Plan de Tareas'!G71</f>
        <v>0</v>
      </c>
      <c r="D72" s="9">
        <f>'Plan de Tareas'!J71</f>
        <v>0</v>
      </c>
      <c r="E72" s="9">
        <f>'Plan de Tareas'!K71</f>
        <v>0</v>
      </c>
      <c r="F72" s="10" t="str">
        <f ca="1">'Plan de Tareas'!M71</f>
        <v/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>
      <c r="A73" s="1">
        <f>'Plan de Tareas'!A72</f>
        <v>0</v>
      </c>
      <c r="B73" s="11">
        <f>'Plan de Tareas'!F72</f>
        <v>0</v>
      </c>
      <c r="C73" s="1">
        <f>'Plan de Tareas'!G72</f>
        <v>0</v>
      </c>
      <c r="D73" s="9">
        <f>'Plan de Tareas'!J72</f>
        <v>0</v>
      </c>
      <c r="E73" s="9">
        <f>'Plan de Tareas'!K72</f>
        <v>0</v>
      </c>
      <c r="F73" s="10" t="str">
        <f ca="1">'Plan de Tareas'!M72</f>
        <v/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>
      <c r="A74" s="1">
        <f>'Plan de Tareas'!A73</f>
        <v>0</v>
      </c>
      <c r="B74" s="11">
        <f>'Plan de Tareas'!F73</f>
        <v>0</v>
      </c>
      <c r="C74" s="1">
        <f>'Plan de Tareas'!G73</f>
        <v>0</v>
      </c>
      <c r="D74" s="9">
        <f>'Plan de Tareas'!J73</f>
        <v>0</v>
      </c>
      <c r="E74" s="9">
        <f>'Plan de Tareas'!K73</f>
        <v>0</v>
      </c>
      <c r="F74" s="10" t="str">
        <f ca="1">'Plan de Tareas'!M73</f>
        <v/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>
      <c r="A75" s="1">
        <f>'Plan de Tareas'!A74</f>
        <v>0</v>
      </c>
      <c r="B75" s="11">
        <f>'Plan de Tareas'!F74</f>
        <v>0</v>
      </c>
      <c r="C75" s="1">
        <f>'Plan de Tareas'!G74</f>
        <v>0</v>
      </c>
      <c r="D75" s="9">
        <f>'Plan de Tareas'!J74</f>
        <v>0</v>
      </c>
      <c r="E75" s="9">
        <f>'Plan de Tareas'!K74</f>
        <v>0</v>
      </c>
      <c r="F75" s="10" t="str">
        <f ca="1">'Plan de Tareas'!M74</f>
        <v/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>
      <c r="A76" s="1">
        <f>'Plan de Tareas'!A75</f>
        <v>0</v>
      </c>
      <c r="B76" s="11">
        <f>'Plan de Tareas'!F75</f>
        <v>0</v>
      </c>
      <c r="C76" s="1">
        <f>'Plan de Tareas'!G75</f>
        <v>0</v>
      </c>
      <c r="D76" s="9">
        <f>'Plan de Tareas'!J75</f>
        <v>0</v>
      </c>
      <c r="E76" s="9">
        <f>'Plan de Tareas'!K75</f>
        <v>0</v>
      </c>
      <c r="F76" s="10" t="str">
        <f ca="1">'Plan de Tareas'!M75</f>
        <v/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>
      <c r="A77" s="1">
        <f>'Plan de Tareas'!A76</f>
        <v>0</v>
      </c>
      <c r="B77" s="11">
        <f>'Plan de Tareas'!F76</f>
        <v>0</v>
      </c>
      <c r="C77" s="1">
        <f>'Plan de Tareas'!G76</f>
        <v>0</v>
      </c>
      <c r="D77" s="9">
        <f>'Plan de Tareas'!J76</f>
        <v>0</v>
      </c>
      <c r="E77" s="9">
        <f>'Plan de Tareas'!K76</f>
        <v>0</v>
      </c>
      <c r="F77" s="10" t="str">
        <f ca="1">'Plan de Tareas'!M76</f>
        <v/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>
      <c r="A78" s="1">
        <f>'Plan de Tareas'!A77</f>
        <v>0</v>
      </c>
      <c r="B78" s="11">
        <f>'Plan de Tareas'!F77</f>
        <v>0</v>
      </c>
      <c r="C78" s="1">
        <f>'Plan de Tareas'!G77</f>
        <v>0</v>
      </c>
      <c r="D78" s="9">
        <f>'Plan de Tareas'!J77</f>
        <v>0</v>
      </c>
      <c r="E78" s="9">
        <f>'Plan de Tareas'!K77</f>
        <v>0</v>
      </c>
      <c r="F78" s="10" t="str">
        <f ca="1">'Plan de Tareas'!M77</f>
        <v/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>
      <c r="A79" s="1">
        <f>'Plan de Tareas'!A78</f>
        <v>0</v>
      </c>
      <c r="B79" s="11">
        <f>'Plan de Tareas'!F78</f>
        <v>0</v>
      </c>
      <c r="C79" s="1">
        <f>'Plan de Tareas'!G78</f>
        <v>0</v>
      </c>
      <c r="D79" s="9">
        <f>'Plan de Tareas'!J78</f>
        <v>0</v>
      </c>
      <c r="E79" s="9">
        <f>'Plan de Tareas'!K78</f>
        <v>0</v>
      </c>
      <c r="F79" s="10" t="str">
        <f ca="1">'Plan de Tareas'!M78</f>
        <v/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>
      <c r="A80" s="1">
        <f>'Plan de Tareas'!A79</f>
        <v>0</v>
      </c>
      <c r="B80" s="11">
        <f>'Plan de Tareas'!F79</f>
        <v>0</v>
      </c>
      <c r="C80" s="1">
        <f>'Plan de Tareas'!G79</f>
        <v>0</v>
      </c>
      <c r="D80" s="9">
        <f>'Plan de Tareas'!J79</f>
        <v>0</v>
      </c>
      <c r="E80" s="9">
        <f>'Plan de Tareas'!K79</f>
        <v>0</v>
      </c>
      <c r="F80" s="10" t="str">
        <f ca="1">'Plan de Tareas'!M79</f>
        <v/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>
      <c r="A81" s="1">
        <f>'Plan de Tareas'!A80</f>
        <v>0</v>
      </c>
      <c r="B81" s="11">
        <f>'Plan de Tareas'!F80</f>
        <v>0</v>
      </c>
      <c r="C81" s="1">
        <f>'Plan de Tareas'!G80</f>
        <v>0</v>
      </c>
      <c r="D81" s="9">
        <f>'Plan de Tareas'!J80</f>
        <v>0</v>
      </c>
      <c r="E81" s="9">
        <f>'Plan de Tareas'!K80</f>
        <v>0</v>
      </c>
      <c r="F81" s="10" t="str">
        <f ca="1">'Plan de Tareas'!M80</f>
        <v/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>
      <c r="A82" s="1">
        <f>'Plan de Tareas'!A81</f>
        <v>0</v>
      </c>
      <c r="B82" s="11">
        <f>'Plan de Tareas'!F81</f>
        <v>0</v>
      </c>
      <c r="C82" s="1">
        <f>'Plan de Tareas'!G81</f>
        <v>0</v>
      </c>
      <c r="D82" s="9">
        <f>'Plan de Tareas'!J81</f>
        <v>0</v>
      </c>
      <c r="E82" s="9">
        <f>'Plan de Tareas'!K81</f>
        <v>0</v>
      </c>
      <c r="F82" s="10" t="str">
        <f ca="1">'Plan de Tareas'!M81</f>
        <v/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>
      <c r="A83" s="1">
        <f>'Plan de Tareas'!A82</f>
        <v>0</v>
      </c>
      <c r="B83" s="11">
        <f>'Plan de Tareas'!F82</f>
        <v>0</v>
      </c>
      <c r="C83" s="1">
        <f>'Plan de Tareas'!G82</f>
        <v>0</v>
      </c>
      <c r="D83" s="9">
        <f>'Plan de Tareas'!J82</f>
        <v>0</v>
      </c>
      <c r="E83" s="9">
        <f>'Plan de Tareas'!K82</f>
        <v>0</v>
      </c>
      <c r="F83" s="10" t="str">
        <f ca="1">'Plan de Tareas'!M82</f>
        <v/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>
      <c r="A84" s="1">
        <f>'Plan de Tareas'!A83</f>
        <v>0</v>
      </c>
      <c r="B84" s="11">
        <f>'Plan de Tareas'!F83</f>
        <v>0</v>
      </c>
      <c r="C84" s="1">
        <f>'Plan de Tareas'!G83</f>
        <v>0</v>
      </c>
      <c r="D84" s="9">
        <f>'Plan de Tareas'!J83</f>
        <v>0</v>
      </c>
      <c r="E84" s="9">
        <f>'Plan de Tareas'!K83</f>
        <v>0</v>
      </c>
      <c r="F84" s="10" t="str">
        <f ca="1">'Plan de Tareas'!M83</f>
        <v/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>
      <c r="A85" s="1">
        <f>'Plan de Tareas'!A84</f>
        <v>0</v>
      </c>
      <c r="B85" s="11">
        <f>'Plan de Tareas'!F84</f>
        <v>0</v>
      </c>
      <c r="C85" s="1">
        <f>'Plan de Tareas'!G84</f>
        <v>0</v>
      </c>
      <c r="D85" s="9">
        <f>'Plan de Tareas'!J84</f>
        <v>0</v>
      </c>
      <c r="E85" s="9">
        <f>'Plan de Tareas'!K84</f>
        <v>0</v>
      </c>
      <c r="F85" s="10" t="str">
        <f ca="1">'Plan de Tareas'!M84</f>
        <v/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>
      <c r="A86" s="1">
        <f>'Plan de Tareas'!A85</f>
        <v>0</v>
      </c>
      <c r="B86" s="11">
        <f>'Plan de Tareas'!F85</f>
        <v>0</v>
      </c>
      <c r="C86" s="1">
        <f>'Plan de Tareas'!G85</f>
        <v>0</v>
      </c>
      <c r="D86" s="9">
        <f>'Plan de Tareas'!J85</f>
        <v>0</v>
      </c>
      <c r="E86" s="9">
        <f>'Plan de Tareas'!K85</f>
        <v>0</v>
      </c>
      <c r="F86" s="10" t="str">
        <f ca="1">'Plan de Tareas'!M85</f>
        <v/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>
      <c r="A87" s="1">
        <f>'Plan de Tareas'!A86</f>
        <v>0</v>
      </c>
      <c r="B87" s="11">
        <f>'Plan de Tareas'!F86</f>
        <v>0</v>
      </c>
      <c r="C87" s="1">
        <f>'Plan de Tareas'!G86</f>
        <v>0</v>
      </c>
      <c r="D87" s="9">
        <f>'Plan de Tareas'!J86</f>
        <v>0</v>
      </c>
      <c r="E87" s="9">
        <f>'Plan de Tareas'!K86</f>
        <v>0</v>
      </c>
      <c r="F87" s="10" t="str">
        <f ca="1">'Plan de Tareas'!M86</f>
        <v/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>
      <c r="A88" s="1">
        <f>'Plan de Tareas'!A87</f>
        <v>0</v>
      </c>
      <c r="B88" s="11">
        <f>'Plan de Tareas'!F87</f>
        <v>0</v>
      </c>
      <c r="C88" s="1">
        <f>'Plan de Tareas'!G87</f>
        <v>0</v>
      </c>
      <c r="D88" s="9">
        <f>'Plan de Tareas'!J87</f>
        <v>0</v>
      </c>
      <c r="E88" s="9">
        <f>'Plan de Tareas'!K87</f>
        <v>0</v>
      </c>
      <c r="F88" s="10" t="str">
        <f ca="1">'Plan de Tareas'!M87</f>
        <v/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>
      <c r="A89" s="1">
        <f>'Plan de Tareas'!A88</f>
        <v>0</v>
      </c>
      <c r="B89" s="11">
        <f>'Plan de Tareas'!F88</f>
        <v>0</v>
      </c>
      <c r="C89" s="1">
        <f>'Plan de Tareas'!G88</f>
        <v>0</v>
      </c>
      <c r="D89" s="9">
        <f>'Plan de Tareas'!J88</f>
        <v>0</v>
      </c>
      <c r="E89" s="9">
        <f>'Plan de Tareas'!K88</f>
        <v>0</v>
      </c>
      <c r="F89" s="10" t="str">
        <f ca="1">'Plan de Tareas'!M88</f>
        <v/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>
      <c r="A90" s="1">
        <f>'Plan de Tareas'!A89</f>
        <v>0</v>
      </c>
      <c r="B90" s="11">
        <f>'Plan de Tareas'!F89</f>
        <v>0</v>
      </c>
      <c r="C90" s="1">
        <f>'Plan de Tareas'!G89</f>
        <v>0</v>
      </c>
      <c r="D90" s="9">
        <f>'Plan de Tareas'!J89</f>
        <v>0</v>
      </c>
      <c r="E90" s="9">
        <f>'Plan de Tareas'!K89</f>
        <v>0</v>
      </c>
      <c r="F90" s="10" t="str">
        <f ca="1">'Plan de Tareas'!M89</f>
        <v/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>
      <c r="A91" s="1">
        <f>'Plan de Tareas'!A90</f>
        <v>0</v>
      </c>
      <c r="B91" s="11">
        <f>'Plan de Tareas'!F90</f>
        <v>0</v>
      </c>
      <c r="C91" s="1">
        <f>'Plan de Tareas'!G90</f>
        <v>0</v>
      </c>
      <c r="D91" s="9">
        <f>'Plan de Tareas'!J90</f>
        <v>0</v>
      </c>
      <c r="E91" s="9">
        <f>'Plan de Tareas'!K90</f>
        <v>0</v>
      </c>
      <c r="F91" s="10" t="str">
        <f ca="1">'Plan de Tareas'!M90</f>
        <v/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>
      <c r="A92" s="1">
        <f>'Plan de Tareas'!A91</f>
        <v>0</v>
      </c>
      <c r="B92" s="11">
        <f>'Plan de Tareas'!F91</f>
        <v>0</v>
      </c>
      <c r="C92" s="1">
        <f>'Plan de Tareas'!G91</f>
        <v>0</v>
      </c>
      <c r="D92" s="9">
        <f>'Plan de Tareas'!J91</f>
        <v>0</v>
      </c>
      <c r="E92" s="9">
        <f>'Plan de Tareas'!K91</f>
        <v>0</v>
      </c>
      <c r="F92" s="10" t="str">
        <f ca="1">'Plan de Tareas'!M91</f>
        <v/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>
      <c r="A93" s="1">
        <f>'Plan de Tareas'!A92</f>
        <v>0</v>
      </c>
      <c r="B93" s="11">
        <f>'Plan de Tareas'!F92</f>
        <v>0</v>
      </c>
      <c r="C93" s="1">
        <f>'Plan de Tareas'!G92</f>
        <v>0</v>
      </c>
      <c r="D93" s="9">
        <f>'Plan de Tareas'!J92</f>
        <v>0</v>
      </c>
      <c r="E93" s="9">
        <f>'Plan de Tareas'!K92</f>
        <v>0</v>
      </c>
      <c r="F93" s="10" t="str">
        <f ca="1">'Plan de Tareas'!M92</f>
        <v/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>
      <c r="A94" s="1">
        <f>'Plan de Tareas'!A93</f>
        <v>0</v>
      </c>
      <c r="B94" s="11">
        <f>'Plan de Tareas'!F93</f>
        <v>0</v>
      </c>
      <c r="C94" s="1">
        <f>'Plan de Tareas'!G93</f>
        <v>0</v>
      </c>
      <c r="D94" s="9">
        <f>'Plan de Tareas'!J93</f>
        <v>0</v>
      </c>
      <c r="E94" s="9">
        <f>'Plan de Tareas'!K93</f>
        <v>0</v>
      </c>
      <c r="F94" s="10" t="str">
        <f ca="1">'Plan de Tareas'!M93</f>
        <v/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>
      <c r="A95" s="1">
        <f>'Plan de Tareas'!A94</f>
        <v>0</v>
      </c>
      <c r="B95" s="11">
        <f>'Plan de Tareas'!F94</f>
        <v>0</v>
      </c>
      <c r="C95" s="1">
        <f>'Plan de Tareas'!G94</f>
        <v>0</v>
      </c>
      <c r="D95" s="9">
        <f>'Plan de Tareas'!J94</f>
        <v>0</v>
      </c>
      <c r="E95" s="9">
        <f>'Plan de Tareas'!K94</f>
        <v>0</v>
      </c>
      <c r="F95" s="10" t="str">
        <f ca="1">'Plan de Tareas'!M94</f>
        <v/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>
      <c r="A96" s="1">
        <f>'Plan de Tareas'!A95</f>
        <v>0</v>
      </c>
      <c r="B96" s="11">
        <f>'Plan de Tareas'!F95</f>
        <v>0</v>
      </c>
      <c r="C96" s="1">
        <f>'Plan de Tareas'!G95</f>
        <v>0</v>
      </c>
      <c r="D96" s="9">
        <f>'Plan de Tareas'!J95</f>
        <v>0</v>
      </c>
      <c r="E96" s="9">
        <f>'Plan de Tareas'!K95</f>
        <v>0</v>
      </c>
      <c r="F96" s="10" t="str">
        <f ca="1">'Plan de Tareas'!M95</f>
        <v/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>
      <c r="A97" s="1">
        <f>'Plan de Tareas'!A96</f>
        <v>0</v>
      </c>
      <c r="B97" s="11">
        <f>'Plan de Tareas'!F96</f>
        <v>0</v>
      </c>
      <c r="C97" s="1">
        <f>'Plan de Tareas'!G96</f>
        <v>0</v>
      </c>
      <c r="D97" s="9">
        <f>'Plan de Tareas'!J96</f>
        <v>0</v>
      </c>
      <c r="E97" s="9">
        <f>'Plan de Tareas'!K96</f>
        <v>0</v>
      </c>
      <c r="F97" s="10" t="str">
        <f ca="1">'Plan de Tareas'!M96</f>
        <v/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>
      <c r="A98" s="1">
        <f>'Plan de Tareas'!A97</f>
        <v>0</v>
      </c>
      <c r="B98" s="11">
        <f>'Plan de Tareas'!F97</f>
        <v>0</v>
      </c>
      <c r="C98" s="1">
        <f>'Plan de Tareas'!G97</f>
        <v>0</v>
      </c>
      <c r="D98" s="9">
        <f>'Plan de Tareas'!J97</f>
        <v>0</v>
      </c>
      <c r="E98" s="9">
        <f>'Plan de Tareas'!K97</f>
        <v>0</v>
      </c>
      <c r="F98" s="10" t="str">
        <f ca="1">'Plan de Tareas'!M97</f>
        <v/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>
      <c r="A99" s="1">
        <f>'Plan de Tareas'!A98</f>
        <v>0</v>
      </c>
      <c r="B99" s="11">
        <f>'Plan de Tareas'!F98</f>
        <v>0</v>
      </c>
      <c r="C99" s="1">
        <f>'Plan de Tareas'!G98</f>
        <v>0</v>
      </c>
      <c r="D99" s="9">
        <f>'Plan de Tareas'!J98</f>
        <v>0</v>
      </c>
      <c r="E99" s="9">
        <f>'Plan de Tareas'!K98</f>
        <v>0</v>
      </c>
      <c r="F99" s="10" t="str">
        <f ca="1">'Plan de Tareas'!M98</f>
        <v/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>
      <c r="A100" s="1">
        <f>'Plan de Tareas'!A99</f>
        <v>0</v>
      </c>
      <c r="B100" s="11">
        <f>'Plan de Tareas'!F99</f>
        <v>0</v>
      </c>
      <c r="C100" s="1">
        <f>'Plan de Tareas'!G99</f>
        <v>0</v>
      </c>
      <c r="D100" s="9">
        <f>'Plan de Tareas'!J99</f>
        <v>0</v>
      </c>
      <c r="E100" s="9">
        <f>'Plan de Tareas'!K99</f>
        <v>0</v>
      </c>
      <c r="F100" s="10" t="str">
        <f ca="1">'Plan de Tareas'!M99</f>
        <v/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>
      <c r="A101" s="1">
        <f>'Plan de Tareas'!A100</f>
        <v>0</v>
      </c>
      <c r="B101" s="11">
        <f>'Plan de Tareas'!F100</f>
        <v>0</v>
      </c>
      <c r="C101" s="1">
        <f>'Plan de Tareas'!G100</f>
        <v>0</v>
      </c>
      <c r="D101" s="9">
        <f>'Plan de Tareas'!J100</f>
        <v>0</v>
      </c>
      <c r="E101" s="9">
        <f>'Plan de Tareas'!K100</f>
        <v>0</v>
      </c>
      <c r="F101" s="10" t="str">
        <f ca="1">'Plan de Tareas'!M100</f>
        <v/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>
      <c r="A102" s="1">
        <f>'Plan de Tareas'!A101</f>
        <v>0</v>
      </c>
      <c r="B102" s="11">
        <f>'Plan de Tareas'!F101</f>
        <v>0</v>
      </c>
      <c r="C102" s="1">
        <f>'Plan de Tareas'!G101</f>
        <v>0</v>
      </c>
      <c r="D102" s="9">
        <f>'Plan de Tareas'!J101</f>
        <v>0</v>
      </c>
      <c r="E102" s="9">
        <f>'Plan de Tareas'!K101</f>
        <v>0</v>
      </c>
      <c r="F102" s="10" t="str">
        <f ca="1">'Plan de Tareas'!M101</f>
        <v/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</sheetData>
  <mergeCells count="1">
    <mergeCell ref="A1:F1"/>
  </mergeCells>
  <conditionalFormatting sqref="G2:AF102">
    <cfRule type="expression" dxfId="2" priority="3">
      <formula>AND(TODAY()&gt;=G$2,TODAY()&lt;G$2+7)</formula>
    </cfRule>
  </conditionalFormatting>
  <conditionalFormatting sqref="G3:AF102">
    <cfRule type="expression" dxfId="1" priority="1">
      <formula>AND(G$2&lt;=$E3,G$2+6&gt;=$D3,$A3&lt;&gt;"")</formula>
    </cfRule>
    <cfRule type="expression" dxfId="0" priority="2">
      <formula>AND(G$2&lt;=$D3+($E3-$D3)*$F3,G$2+6&gt;=$D3,$A3&lt;&gt;"")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"/>
  <sheetViews>
    <sheetView workbookViewId="0">
      <pane ySplit="1" topLeftCell="A2" activePane="bottomLeft" state="frozen"/>
      <selection pane="bottomLeft"/>
    </sheetView>
  </sheetViews>
  <sheetFormatPr baseColWidth="10" defaultColWidth="9" defaultRowHeight="14.25"/>
  <cols>
    <col min="1" max="10" width="24" customWidth="1"/>
  </cols>
  <sheetData>
    <row r="1" spans="1:10" ht="15">
      <c r="A1" s="26" t="s">
        <v>129</v>
      </c>
      <c r="B1" s="26" t="s">
        <v>130</v>
      </c>
      <c r="C1" s="26" t="s">
        <v>131</v>
      </c>
      <c r="D1" s="26" t="s">
        <v>132</v>
      </c>
      <c r="E1" s="26" t="s">
        <v>133</v>
      </c>
      <c r="F1" s="26" t="s">
        <v>134</v>
      </c>
      <c r="G1" s="26" t="s">
        <v>135</v>
      </c>
      <c r="H1" s="26" t="s">
        <v>136</v>
      </c>
      <c r="I1" s="27" t="s">
        <v>137</v>
      </c>
      <c r="J1" s="27" t="s">
        <v>138</v>
      </c>
    </row>
    <row r="2" spans="1:10">
      <c r="A2" t="s">
        <v>9</v>
      </c>
      <c r="B2" t="s">
        <v>23</v>
      </c>
      <c r="C2" t="s">
        <v>139</v>
      </c>
      <c r="D2" t="s">
        <v>72</v>
      </c>
      <c r="E2" t="s">
        <v>75</v>
      </c>
      <c r="F2" t="s">
        <v>84</v>
      </c>
      <c r="G2" t="s">
        <v>86</v>
      </c>
      <c r="H2" t="s">
        <v>140</v>
      </c>
      <c r="I2" t="s">
        <v>71</v>
      </c>
      <c r="J2" t="s">
        <v>141</v>
      </c>
    </row>
    <row r="3" spans="1:10">
      <c r="A3" t="s">
        <v>12</v>
      </c>
      <c r="B3" t="s">
        <v>24</v>
      </c>
      <c r="C3" t="s">
        <v>142</v>
      </c>
      <c r="D3" t="s">
        <v>143</v>
      </c>
      <c r="E3" t="s">
        <v>144</v>
      </c>
      <c r="F3" t="s">
        <v>90</v>
      </c>
      <c r="G3" t="s">
        <v>96</v>
      </c>
      <c r="H3" t="s">
        <v>145</v>
      </c>
      <c r="I3" t="s">
        <v>81</v>
      </c>
      <c r="J3" t="s">
        <v>146</v>
      </c>
    </row>
    <row r="4" spans="1:10">
      <c r="A4" t="s">
        <v>15</v>
      </c>
      <c r="B4" t="s">
        <v>25</v>
      </c>
      <c r="C4" t="s">
        <v>147</v>
      </c>
      <c r="D4" t="s">
        <v>148</v>
      </c>
      <c r="E4" t="s">
        <v>103</v>
      </c>
      <c r="F4" t="s">
        <v>149</v>
      </c>
      <c r="G4" t="s">
        <v>79</v>
      </c>
      <c r="H4" t="s">
        <v>150</v>
      </c>
    </row>
    <row r="5" spans="1:10">
      <c r="A5" t="s">
        <v>18</v>
      </c>
      <c r="B5" t="s">
        <v>26</v>
      </c>
      <c r="C5" t="s">
        <v>151</v>
      </c>
      <c r="D5" t="s">
        <v>152</v>
      </c>
      <c r="E5" t="s">
        <v>151</v>
      </c>
      <c r="F5" t="s">
        <v>153</v>
      </c>
      <c r="G5" t="s">
        <v>154</v>
      </c>
      <c r="H5" t="s">
        <v>155</v>
      </c>
    </row>
    <row r="6" spans="1:10">
      <c r="A6" t="s">
        <v>19</v>
      </c>
      <c r="B6" t="s">
        <v>156</v>
      </c>
      <c r="C6" t="s">
        <v>157</v>
      </c>
      <c r="D6" t="s">
        <v>121</v>
      </c>
      <c r="E6" t="s">
        <v>147</v>
      </c>
      <c r="F6" t="s">
        <v>158</v>
      </c>
      <c r="G6" t="s">
        <v>159</v>
      </c>
      <c r="H6" t="s">
        <v>160</v>
      </c>
    </row>
    <row r="7" spans="1:10">
      <c r="A7" t="s">
        <v>22</v>
      </c>
      <c r="C7" t="s">
        <v>161</v>
      </c>
      <c r="D7" t="s">
        <v>162</v>
      </c>
      <c r="E7" t="s">
        <v>157</v>
      </c>
      <c r="F7" t="s">
        <v>105</v>
      </c>
      <c r="H7" t="s">
        <v>163</v>
      </c>
    </row>
    <row r="8" spans="1:10">
      <c r="A8" t="s">
        <v>20</v>
      </c>
      <c r="C8" t="s">
        <v>164</v>
      </c>
      <c r="D8" t="s">
        <v>147</v>
      </c>
      <c r="E8" t="s">
        <v>143</v>
      </c>
      <c r="F8" t="s">
        <v>106</v>
      </c>
      <c r="H8" t="s">
        <v>165</v>
      </c>
    </row>
    <row r="9" spans="1:10">
      <c r="A9" t="s">
        <v>166</v>
      </c>
      <c r="C9" t="s">
        <v>167</v>
      </c>
      <c r="D9" t="s">
        <v>151</v>
      </c>
      <c r="E9" t="s">
        <v>148</v>
      </c>
      <c r="F9" t="s">
        <v>168</v>
      </c>
    </row>
    <row r="10" spans="1:10">
      <c r="A10" t="s">
        <v>169</v>
      </c>
      <c r="C10" t="s">
        <v>148</v>
      </c>
      <c r="D10" t="s">
        <v>164</v>
      </c>
      <c r="E10" t="s">
        <v>170</v>
      </c>
      <c r="F10" t="s">
        <v>114</v>
      </c>
    </row>
    <row r="11" spans="1:10">
      <c r="A11" t="s">
        <v>171</v>
      </c>
      <c r="C11" t="s">
        <v>143</v>
      </c>
      <c r="D11" t="s">
        <v>170</v>
      </c>
      <c r="E11" t="s">
        <v>66</v>
      </c>
      <c r="F11" t="s">
        <v>172</v>
      </c>
    </row>
    <row r="12" spans="1:10">
      <c r="A12" t="s">
        <v>173</v>
      </c>
      <c r="C12" t="s">
        <v>174</v>
      </c>
      <c r="D12" t="s">
        <v>175</v>
      </c>
      <c r="E12" t="s">
        <v>176</v>
      </c>
      <c r="F12" t="s">
        <v>177</v>
      </c>
    </row>
    <row r="13" spans="1:10">
      <c r="C13" t="s">
        <v>178</v>
      </c>
      <c r="D13" t="s">
        <v>179</v>
      </c>
      <c r="E13" t="s">
        <v>180</v>
      </c>
      <c r="F13" t="s">
        <v>78</v>
      </c>
    </row>
    <row r="14" spans="1:10">
      <c r="C14" t="s">
        <v>181</v>
      </c>
      <c r="F14" t="s">
        <v>182</v>
      </c>
    </row>
    <row r="15" spans="1:10">
      <c r="C15" t="s">
        <v>183</v>
      </c>
      <c r="F15" t="s">
        <v>184</v>
      </c>
    </row>
    <row r="16" spans="1:10">
      <c r="C16" t="s">
        <v>180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5"/>
  <sheetViews>
    <sheetView topLeftCell="A4" workbookViewId="0">
      <selection sqref="A1:H2"/>
    </sheetView>
  </sheetViews>
  <sheetFormatPr baseColWidth="10" defaultColWidth="9" defaultRowHeight="14.25"/>
  <cols>
    <col min="1" max="1" width="10" customWidth="1"/>
    <col min="2" max="2" width="105" customWidth="1"/>
  </cols>
  <sheetData>
    <row r="1" spans="1:8">
      <c r="A1" s="68" t="s">
        <v>185</v>
      </c>
      <c r="B1" s="68"/>
      <c r="C1" s="68"/>
      <c r="D1" s="68"/>
      <c r="E1" s="68"/>
      <c r="F1" s="68"/>
      <c r="G1" s="68"/>
      <c r="H1" s="68"/>
    </row>
    <row r="2" spans="1:8">
      <c r="A2" s="68"/>
      <c r="B2" s="68"/>
      <c r="C2" s="68"/>
      <c r="D2" s="68"/>
      <c r="E2" s="68"/>
      <c r="F2" s="68"/>
      <c r="G2" s="68"/>
      <c r="H2" s="68"/>
    </row>
    <row r="3" spans="1:8">
      <c r="A3" s="12"/>
      <c r="B3" s="12"/>
      <c r="C3" s="12"/>
      <c r="D3" s="12"/>
      <c r="E3" s="12"/>
      <c r="F3" s="12"/>
      <c r="G3" s="12"/>
      <c r="H3" s="12"/>
    </row>
    <row r="4" spans="1:8" ht="44.1" customHeight="1">
      <c r="A4" s="24" t="s">
        <v>186</v>
      </c>
      <c r="B4" s="25" t="s">
        <v>187</v>
      </c>
      <c r="C4" s="12"/>
      <c r="D4" s="12"/>
      <c r="E4" s="12"/>
      <c r="F4" s="12"/>
      <c r="G4" s="12"/>
      <c r="H4" s="12"/>
    </row>
    <row r="5" spans="1:8" ht="44.1" customHeight="1">
      <c r="A5" s="12" t="s">
        <v>188</v>
      </c>
      <c r="B5" s="16" t="s">
        <v>189</v>
      </c>
      <c r="C5" s="12"/>
      <c r="D5" s="12"/>
      <c r="E5" s="12"/>
      <c r="F5" s="12"/>
      <c r="G5" s="12"/>
      <c r="H5" s="12"/>
    </row>
    <row r="6" spans="1:8" ht="44.1" customHeight="1">
      <c r="A6" s="12" t="s">
        <v>190</v>
      </c>
      <c r="B6" s="16" t="s">
        <v>191</v>
      </c>
      <c r="C6" s="12"/>
      <c r="D6" s="12"/>
      <c r="E6" s="12"/>
      <c r="F6" s="12"/>
      <c r="G6" s="12"/>
      <c r="H6" s="12"/>
    </row>
    <row r="7" spans="1:8" ht="44.1" customHeight="1">
      <c r="A7" s="12" t="s">
        <v>192</v>
      </c>
      <c r="B7" s="16" t="s">
        <v>193</v>
      </c>
      <c r="C7" s="12"/>
      <c r="D7" s="12"/>
      <c r="E7" s="12"/>
      <c r="F7" s="12"/>
      <c r="G7" s="12"/>
      <c r="H7" s="12"/>
    </row>
    <row r="8" spans="1:8" ht="44.1" customHeight="1">
      <c r="A8" s="12" t="s">
        <v>194</v>
      </c>
      <c r="B8" s="16" t="s">
        <v>195</v>
      </c>
      <c r="C8" s="12"/>
      <c r="D8" s="12"/>
      <c r="E8" s="12"/>
      <c r="F8" s="12"/>
      <c r="G8" s="12"/>
      <c r="H8" s="12"/>
    </row>
    <row r="9" spans="1:8" ht="44.1" customHeight="1">
      <c r="A9" s="12" t="s">
        <v>196</v>
      </c>
      <c r="B9" s="16" t="s">
        <v>197</v>
      </c>
      <c r="C9" s="12"/>
      <c r="D9" s="12"/>
      <c r="E9" s="12"/>
      <c r="F9" s="12"/>
      <c r="G9" s="12"/>
      <c r="H9" s="12"/>
    </row>
    <row r="10" spans="1:8" ht="44.1" customHeight="1">
      <c r="A10" s="12" t="s">
        <v>198</v>
      </c>
      <c r="B10" s="16" t="s">
        <v>199</v>
      </c>
      <c r="C10" s="12"/>
      <c r="D10" s="12"/>
      <c r="E10" s="12"/>
      <c r="F10" s="12"/>
      <c r="G10" s="12"/>
      <c r="H10" s="12"/>
    </row>
    <row r="11" spans="1:8" ht="44.1" customHeight="1">
      <c r="A11" s="12" t="s">
        <v>200</v>
      </c>
      <c r="B11" s="16" t="s">
        <v>201</v>
      </c>
      <c r="C11" s="12"/>
      <c r="D11" s="12"/>
      <c r="E11" s="12"/>
      <c r="F11" s="12"/>
      <c r="G11" s="12"/>
      <c r="H11" s="12"/>
    </row>
    <row r="12" spans="1:8" ht="44.1" customHeight="1">
      <c r="A12" s="12" t="s">
        <v>202</v>
      </c>
      <c r="B12" s="16" t="s">
        <v>203</v>
      </c>
      <c r="C12" s="12"/>
      <c r="D12" s="12"/>
      <c r="E12" s="12"/>
      <c r="F12" s="12"/>
      <c r="G12" s="12"/>
      <c r="H12" s="12"/>
    </row>
    <row r="13" spans="1:8" ht="44.1" customHeight="1">
      <c r="A13" s="12" t="s">
        <v>204</v>
      </c>
      <c r="B13" s="16" t="s">
        <v>205</v>
      </c>
      <c r="C13" s="12"/>
      <c r="D13" s="12"/>
      <c r="E13" s="12"/>
      <c r="F13" s="12"/>
      <c r="G13" s="12"/>
      <c r="H13" s="12"/>
    </row>
    <row r="14" spans="1:8" ht="44.1" customHeight="1">
      <c r="A14" s="12" t="s">
        <v>206</v>
      </c>
      <c r="B14" s="16" t="s">
        <v>207</v>
      </c>
      <c r="C14" s="12"/>
      <c r="D14" s="12"/>
      <c r="E14" s="12"/>
      <c r="F14" s="12"/>
      <c r="G14" s="12"/>
      <c r="H14" s="12"/>
    </row>
    <row r="15" spans="1:8" ht="44.1" customHeight="1">
      <c r="A15" s="12" t="s">
        <v>208</v>
      </c>
      <c r="B15" s="16" t="s">
        <v>209</v>
      </c>
      <c r="C15" s="12"/>
      <c r="D15" s="12"/>
      <c r="E15" s="12"/>
      <c r="F15" s="12"/>
      <c r="G15" s="12"/>
      <c r="H15" s="12"/>
    </row>
  </sheetData>
  <mergeCells count="1">
    <mergeCell ref="A1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5"/>
  <sheetViews>
    <sheetView workbookViewId="0">
      <pane ySplit="3" topLeftCell="A63" activePane="bottomLeft" state="frozen"/>
      <selection pane="bottomLeft" activeCell="F37" sqref="F37"/>
    </sheetView>
  </sheetViews>
  <sheetFormatPr baseColWidth="10" defaultColWidth="9" defaultRowHeight="14.25"/>
  <cols>
    <col min="1" max="1" width="14" customWidth="1"/>
    <col min="2" max="2" width="26" customWidth="1"/>
    <col min="3" max="4" width="17" customWidth="1"/>
    <col min="5" max="5" width="45" customWidth="1"/>
    <col min="6" max="6" width="28" customWidth="1"/>
    <col min="7" max="7" width="34" customWidth="1"/>
    <col min="8" max="8" width="36" customWidth="1"/>
  </cols>
  <sheetData>
    <row r="1" spans="1:8">
      <c r="A1" s="78" t="s">
        <v>210</v>
      </c>
      <c r="B1" s="78"/>
      <c r="C1" s="78"/>
      <c r="D1" s="78"/>
      <c r="E1" s="78"/>
      <c r="F1" s="78"/>
      <c r="G1" s="78"/>
      <c r="H1" s="78"/>
    </row>
    <row r="2" spans="1:8">
      <c r="A2" s="78"/>
      <c r="B2" s="78"/>
      <c r="C2" s="78"/>
      <c r="D2" s="78"/>
      <c r="E2" s="78"/>
      <c r="F2" s="78"/>
      <c r="G2" s="78"/>
      <c r="H2" s="78"/>
    </row>
    <row r="3" spans="1:8">
      <c r="A3" s="79" t="s">
        <v>211</v>
      </c>
      <c r="B3" s="79"/>
      <c r="C3" s="79"/>
      <c r="D3" s="79"/>
      <c r="E3" s="79"/>
      <c r="F3" s="79"/>
      <c r="G3" s="79"/>
      <c r="H3" s="79"/>
    </row>
    <row r="4" spans="1:8">
      <c r="A4" s="47"/>
      <c r="B4" s="47"/>
      <c r="C4" s="47"/>
      <c r="D4" s="47"/>
      <c r="E4" s="47"/>
      <c r="F4" s="47"/>
      <c r="G4" s="47"/>
      <c r="H4" s="47"/>
    </row>
    <row r="5" spans="1:8">
      <c r="A5" s="80" t="s">
        <v>212</v>
      </c>
      <c r="B5" s="80"/>
      <c r="C5" s="80"/>
      <c r="D5" s="80"/>
      <c r="E5" s="80"/>
      <c r="F5" s="80"/>
      <c r="G5" s="80"/>
      <c r="H5" s="80"/>
    </row>
    <row r="6" spans="1:8" ht="60">
      <c r="A6" s="46" t="s">
        <v>213</v>
      </c>
      <c r="B6" s="48" t="s">
        <v>214</v>
      </c>
      <c r="C6" s="47"/>
      <c r="D6" s="47"/>
      <c r="E6" s="47"/>
      <c r="F6" s="47"/>
      <c r="G6" s="47"/>
      <c r="H6" s="47"/>
    </row>
    <row r="7" spans="1:8" ht="48">
      <c r="A7" s="46" t="s">
        <v>215</v>
      </c>
      <c r="B7" s="48" t="s">
        <v>216</v>
      </c>
      <c r="C7" s="47"/>
      <c r="D7" s="47"/>
      <c r="E7" s="47"/>
      <c r="F7" s="47"/>
      <c r="G7" s="47"/>
      <c r="H7" s="47"/>
    </row>
    <row r="8" spans="1:8" ht="60">
      <c r="A8" s="46" t="s">
        <v>217</v>
      </c>
      <c r="B8" s="48" t="s">
        <v>218</v>
      </c>
      <c r="C8" s="47"/>
      <c r="D8" s="47"/>
      <c r="E8" s="47"/>
      <c r="F8" s="47"/>
      <c r="G8" s="47"/>
      <c r="H8" s="47"/>
    </row>
    <row r="9" spans="1:8" ht="60">
      <c r="A9" s="46" t="s">
        <v>219</v>
      </c>
      <c r="B9" s="48" t="s">
        <v>220</v>
      </c>
      <c r="C9" s="47"/>
      <c r="D9" s="47"/>
      <c r="E9" s="47"/>
      <c r="F9" s="47"/>
      <c r="G9" s="47"/>
      <c r="H9" s="47"/>
    </row>
    <row r="10" spans="1:8" ht="60">
      <c r="A10" s="46" t="s">
        <v>221</v>
      </c>
      <c r="B10" s="48" t="s">
        <v>222</v>
      </c>
      <c r="C10" s="47"/>
      <c r="D10" s="47"/>
      <c r="E10" s="47"/>
      <c r="F10" s="47"/>
      <c r="G10" s="47"/>
      <c r="H10" s="47"/>
    </row>
    <row r="11" spans="1:8">
      <c r="A11" s="47"/>
      <c r="B11" s="47"/>
      <c r="C11" s="47"/>
      <c r="D11" s="47"/>
      <c r="E11" s="47"/>
      <c r="F11" s="47"/>
      <c r="G11" s="47"/>
      <c r="H11" s="47"/>
    </row>
    <row r="12" spans="1:8">
      <c r="A12" s="80" t="s">
        <v>223</v>
      </c>
      <c r="B12" s="80"/>
      <c r="C12" s="80"/>
      <c r="D12" s="80"/>
      <c r="E12" s="80"/>
      <c r="F12" s="80"/>
      <c r="G12" s="80"/>
      <c r="H12" s="80"/>
    </row>
    <row r="13" spans="1:8" ht="36">
      <c r="A13" s="49" t="s">
        <v>224</v>
      </c>
      <c r="B13" s="48" t="s">
        <v>225</v>
      </c>
      <c r="C13" s="47"/>
      <c r="D13" s="47"/>
      <c r="E13" s="47"/>
      <c r="F13" s="47"/>
      <c r="G13" s="47"/>
      <c r="H13" s="47"/>
    </row>
    <row r="14" spans="1:8" ht="36">
      <c r="A14" s="49" t="s">
        <v>226</v>
      </c>
      <c r="B14" s="48" t="s">
        <v>227</v>
      </c>
      <c r="C14" s="47"/>
      <c r="D14" s="47"/>
      <c r="E14" s="47"/>
      <c r="F14" s="47"/>
      <c r="G14" s="47"/>
      <c r="H14" s="47"/>
    </row>
    <row r="15" spans="1:8" ht="60">
      <c r="A15" s="49" t="s">
        <v>228</v>
      </c>
      <c r="B15" s="48" t="s">
        <v>229</v>
      </c>
      <c r="C15" s="47"/>
      <c r="D15" s="47"/>
      <c r="E15" s="47"/>
      <c r="F15" s="47"/>
      <c r="G15" s="47"/>
      <c r="H15" s="47"/>
    </row>
    <row r="16" spans="1:8" ht="36">
      <c r="A16" s="49" t="s">
        <v>230</v>
      </c>
      <c r="B16" s="48" t="s">
        <v>231</v>
      </c>
      <c r="C16" s="47"/>
      <c r="D16" s="47"/>
      <c r="E16" s="47"/>
      <c r="F16" s="47"/>
      <c r="G16" s="47"/>
      <c r="H16" s="47"/>
    </row>
    <row r="17" spans="1:8" ht="48">
      <c r="A17" s="49" t="s">
        <v>232</v>
      </c>
      <c r="B17" s="48" t="s">
        <v>233</v>
      </c>
      <c r="C17" s="47"/>
      <c r="D17" s="47"/>
      <c r="E17" s="47"/>
      <c r="F17" s="47"/>
      <c r="G17" s="47"/>
      <c r="H17" s="47"/>
    </row>
    <row r="18" spans="1:8" ht="60">
      <c r="A18" s="49" t="s">
        <v>234</v>
      </c>
      <c r="B18" s="48" t="s">
        <v>235</v>
      </c>
      <c r="C18" s="47"/>
      <c r="D18" s="47"/>
      <c r="E18" s="47"/>
      <c r="F18" s="47"/>
      <c r="G18" s="47"/>
      <c r="H18" s="47"/>
    </row>
    <row r="19" spans="1:8" ht="48">
      <c r="A19" s="49" t="s">
        <v>236</v>
      </c>
      <c r="B19" s="48" t="s">
        <v>237</v>
      </c>
      <c r="C19" s="47"/>
      <c r="D19" s="47"/>
      <c r="E19" s="47"/>
      <c r="F19" s="47"/>
      <c r="G19" s="47"/>
      <c r="H19" s="47"/>
    </row>
    <row r="20" spans="1:8" ht="48">
      <c r="A20" s="49" t="s">
        <v>238</v>
      </c>
      <c r="B20" s="48" t="s">
        <v>239</v>
      </c>
      <c r="C20" s="47"/>
      <c r="D20" s="47"/>
      <c r="E20" s="47"/>
      <c r="F20" s="47"/>
      <c r="G20" s="47"/>
      <c r="H20" s="47"/>
    </row>
    <row r="21" spans="1:8">
      <c r="A21" s="47"/>
      <c r="B21" s="47"/>
      <c r="C21" s="47"/>
      <c r="D21" s="47"/>
      <c r="E21" s="47"/>
      <c r="F21" s="47"/>
      <c r="G21" s="47"/>
      <c r="H21" s="47"/>
    </row>
    <row r="22" spans="1:8">
      <c r="A22" s="81" t="s">
        <v>240</v>
      </c>
      <c r="B22" s="81"/>
      <c r="C22" s="81"/>
      <c r="D22" s="81"/>
      <c r="E22" s="81"/>
      <c r="F22" s="81"/>
      <c r="G22" s="81"/>
      <c r="H22" s="81"/>
    </row>
    <row r="23" spans="1:8" ht="48" customHeight="1">
      <c r="A23" s="50" t="s">
        <v>241</v>
      </c>
      <c r="B23" s="50" t="s">
        <v>242</v>
      </c>
      <c r="C23" s="50" t="s">
        <v>243</v>
      </c>
      <c r="D23" s="50" t="s">
        <v>244</v>
      </c>
      <c r="E23" s="50" t="s">
        <v>245</v>
      </c>
      <c r="F23" s="50" t="s">
        <v>246</v>
      </c>
      <c r="G23" s="50" t="s">
        <v>247</v>
      </c>
      <c r="H23" s="50" t="s">
        <v>248</v>
      </c>
    </row>
    <row r="24" spans="1:8" ht="48" customHeight="1">
      <c r="A24" s="51" t="s">
        <v>249</v>
      </c>
      <c r="B24" s="48" t="s">
        <v>45</v>
      </c>
      <c r="C24" s="52" t="s">
        <v>250</v>
      </c>
      <c r="D24" s="52" t="s">
        <v>251</v>
      </c>
      <c r="E24" s="48" t="s">
        <v>252</v>
      </c>
      <c r="F24" s="48" t="s">
        <v>253</v>
      </c>
      <c r="G24" s="48" t="s">
        <v>254</v>
      </c>
      <c r="H24" s="48" t="s">
        <v>255</v>
      </c>
    </row>
    <row r="25" spans="1:8" ht="48" customHeight="1">
      <c r="A25" s="51" t="s">
        <v>256</v>
      </c>
      <c r="B25" s="48" t="s">
        <v>51</v>
      </c>
      <c r="C25" s="52" t="s">
        <v>257</v>
      </c>
      <c r="D25" s="52" t="s">
        <v>251</v>
      </c>
      <c r="E25" s="48" t="s">
        <v>258</v>
      </c>
      <c r="F25" s="48" t="s">
        <v>71</v>
      </c>
      <c r="G25" s="48" t="s">
        <v>259</v>
      </c>
      <c r="H25" s="48" t="s">
        <v>260</v>
      </c>
    </row>
    <row r="26" spans="1:8" ht="48" customHeight="1">
      <c r="A26" s="51" t="s">
        <v>261</v>
      </c>
      <c r="B26" s="48" t="s">
        <v>52</v>
      </c>
      <c r="C26" s="52" t="s">
        <v>250</v>
      </c>
      <c r="D26" s="52" t="s">
        <v>251</v>
      </c>
      <c r="E26" s="48" t="s">
        <v>262</v>
      </c>
      <c r="F26" s="48" t="s">
        <v>70</v>
      </c>
      <c r="G26" s="48" t="s">
        <v>263</v>
      </c>
      <c r="H26" s="48" t="s">
        <v>264</v>
      </c>
    </row>
    <row r="27" spans="1:8" ht="48" customHeight="1">
      <c r="A27" s="51" t="s">
        <v>265</v>
      </c>
      <c r="B27" s="48" t="s">
        <v>53</v>
      </c>
      <c r="C27" s="52" t="s">
        <v>257</v>
      </c>
      <c r="D27" s="52" t="s">
        <v>251</v>
      </c>
      <c r="E27" s="48" t="s">
        <v>266</v>
      </c>
      <c r="F27" s="48" t="s">
        <v>72</v>
      </c>
      <c r="G27" s="48" t="s">
        <v>267</v>
      </c>
      <c r="H27" s="48" t="s">
        <v>268</v>
      </c>
    </row>
    <row r="28" spans="1:8" ht="48" customHeight="1">
      <c r="A28" s="51" t="s">
        <v>269</v>
      </c>
      <c r="B28" s="48" t="s">
        <v>54</v>
      </c>
      <c r="C28" s="52" t="s">
        <v>250</v>
      </c>
      <c r="D28" s="52" t="s">
        <v>251</v>
      </c>
      <c r="E28" s="48" t="s">
        <v>270</v>
      </c>
      <c r="F28" s="48" t="s">
        <v>73</v>
      </c>
      <c r="G28" s="48" t="s">
        <v>271</v>
      </c>
      <c r="H28" s="48" t="s">
        <v>272</v>
      </c>
    </row>
    <row r="29" spans="1:8" ht="48" customHeight="1">
      <c r="A29" s="51" t="s">
        <v>273</v>
      </c>
      <c r="B29" s="48" t="s">
        <v>55</v>
      </c>
      <c r="C29" s="52" t="s">
        <v>250</v>
      </c>
      <c r="D29" s="52" t="s">
        <v>251</v>
      </c>
      <c r="E29" s="48" t="s">
        <v>274</v>
      </c>
      <c r="F29" s="48" t="s">
        <v>93</v>
      </c>
      <c r="G29" s="48" t="s">
        <v>275</v>
      </c>
      <c r="H29" s="48" t="s">
        <v>276</v>
      </c>
    </row>
    <row r="30" spans="1:8" ht="48" customHeight="1">
      <c r="A30" s="51" t="s">
        <v>277</v>
      </c>
      <c r="B30" s="48" t="s">
        <v>47</v>
      </c>
      <c r="C30" s="52" t="s">
        <v>257</v>
      </c>
      <c r="D30" s="52" t="s">
        <v>251</v>
      </c>
      <c r="E30" s="48" t="s">
        <v>278</v>
      </c>
      <c r="F30" s="48" t="s">
        <v>103</v>
      </c>
      <c r="G30" s="48" t="s">
        <v>279</v>
      </c>
      <c r="H30" s="48" t="s">
        <v>280</v>
      </c>
    </row>
    <row r="31" spans="1:8" ht="48" customHeight="1">
      <c r="A31" s="51" t="s">
        <v>281</v>
      </c>
      <c r="B31" s="48" t="s">
        <v>21</v>
      </c>
      <c r="C31" s="52" t="s">
        <v>257</v>
      </c>
      <c r="D31" s="52" t="s">
        <v>251</v>
      </c>
      <c r="E31" s="48" t="s">
        <v>282</v>
      </c>
      <c r="F31" s="48" t="s">
        <v>23</v>
      </c>
      <c r="G31" s="48" t="s">
        <v>283</v>
      </c>
      <c r="H31" s="48" t="s">
        <v>284</v>
      </c>
    </row>
    <row r="32" spans="1:8" ht="48" customHeight="1">
      <c r="A32" s="51" t="s">
        <v>285</v>
      </c>
      <c r="B32" s="48" t="s">
        <v>5</v>
      </c>
      <c r="C32" s="52" t="s">
        <v>257</v>
      </c>
      <c r="D32" s="52" t="s">
        <v>251</v>
      </c>
      <c r="E32" s="48" t="s">
        <v>286</v>
      </c>
      <c r="F32" s="48" t="s">
        <v>12</v>
      </c>
      <c r="G32" s="48" t="s">
        <v>287</v>
      </c>
      <c r="H32" s="48" t="s">
        <v>288</v>
      </c>
    </row>
    <row r="33" spans="1:8" ht="48" customHeight="1">
      <c r="A33" s="51" t="s">
        <v>289</v>
      </c>
      <c r="B33" s="48" t="s">
        <v>56</v>
      </c>
      <c r="C33" s="52" t="s">
        <v>290</v>
      </c>
      <c r="D33" s="52" t="s">
        <v>251</v>
      </c>
      <c r="E33" s="48" t="s">
        <v>291</v>
      </c>
      <c r="F33" s="48" t="s">
        <v>292</v>
      </c>
      <c r="G33" s="48" t="s">
        <v>293</v>
      </c>
      <c r="H33" s="48" t="s">
        <v>294</v>
      </c>
    </row>
    <row r="34" spans="1:8" ht="48" customHeight="1">
      <c r="A34" s="51" t="s">
        <v>295</v>
      </c>
      <c r="B34" s="48" t="s">
        <v>57</v>
      </c>
      <c r="C34" s="52" t="s">
        <v>290</v>
      </c>
      <c r="D34" s="52" t="s">
        <v>251</v>
      </c>
      <c r="E34" s="48" t="s">
        <v>296</v>
      </c>
      <c r="F34" s="48" t="s">
        <v>297</v>
      </c>
      <c r="G34" s="48" t="s">
        <v>298</v>
      </c>
      <c r="H34" s="48" t="s">
        <v>299</v>
      </c>
    </row>
    <row r="35" spans="1:8" ht="48" customHeight="1">
      <c r="A35" s="53" t="s">
        <v>300</v>
      </c>
      <c r="B35" s="54" t="s">
        <v>301</v>
      </c>
      <c r="C35" s="55" t="s">
        <v>302</v>
      </c>
      <c r="D35" s="55" t="s">
        <v>303</v>
      </c>
      <c r="E35" s="54" t="s">
        <v>304</v>
      </c>
      <c r="F35" s="54" t="s">
        <v>305</v>
      </c>
      <c r="G35" s="54" t="s">
        <v>306</v>
      </c>
      <c r="H35" s="54" t="s">
        <v>307</v>
      </c>
    </row>
    <row r="36" spans="1:8" ht="48" customHeight="1">
      <c r="A36" s="53" t="s">
        <v>308</v>
      </c>
      <c r="B36" s="54" t="s">
        <v>309</v>
      </c>
      <c r="C36" s="55" t="s">
        <v>302</v>
      </c>
      <c r="D36" s="55" t="s">
        <v>303</v>
      </c>
      <c r="E36" s="54" t="s">
        <v>310</v>
      </c>
      <c r="F36" s="54" t="s">
        <v>311</v>
      </c>
      <c r="G36" s="54" t="s">
        <v>312</v>
      </c>
      <c r="H36" s="54" t="s">
        <v>313</v>
      </c>
    </row>
    <row r="37" spans="1:8" ht="48" customHeight="1">
      <c r="A37" s="53" t="s">
        <v>314</v>
      </c>
      <c r="B37" s="54" t="s">
        <v>60</v>
      </c>
      <c r="C37" s="55" t="s">
        <v>302</v>
      </c>
      <c r="D37" s="55" t="s">
        <v>303</v>
      </c>
      <c r="E37" s="54" t="s">
        <v>315</v>
      </c>
      <c r="F37" s="54" t="s">
        <v>316</v>
      </c>
      <c r="G37" s="54" t="s">
        <v>317</v>
      </c>
      <c r="H37" s="54" t="s">
        <v>318</v>
      </c>
    </row>
    <row r="38" spans="1:8" ht="48" customHeight="1">
      <c r="A38" s="53" t="s">
        <v>319</v>
      </c>
      <c r="B38" s="54" t="s">
        <v>28</v>
      </c>
      <c r="C38" s="55" t="s">
        <v>302</v>
      </c>
      <c r="D38" s="55" t="s">
        <v>303</v>
      </c>
      <c r="E38" s="54" t="s">
        <v>320</v>
      </c>
      <c r="F38" s="54" t="s">
        <v>321</v>
      </c>
      <c r="G38" s="54" t="s">
        <v>322</v>
      </c>
      <c r="H38" s="54" t="s">
        <v>323</v>
      </c>
    </row>
    <row r="39" spans="1:8" ht="48" customHeight="1">
      <c r="A39" s="53" t="s">
        <v>324</v>
      </c>
      <c r="B39" s="54" t="s">
        <v>50</v>
      </c>
      <c r="C39" s="55" t="s">
        <v>302</v>
      </c>
      <c r="D39" s="55" t="s">
        <v>303</v>
      </c>
      <c r="E39" s="54" t="s">
        <v>325</v>
      </c>
      <c r="F39" s="54" t="s">
        <v>33</v>
      </c>
      <c r="G39" s="54" t="s">
        <v>326</v>
      </c>
      <c r="H39" s="54" t="s">
        <v>327</v>
      </c>
    </row>
    <row r="40" spans="1:8" ht="48" customHeight="1">
      <c r="A40" s="53" t="s">
        <v>328</v>
      </c>
      <c r="B40" s="54" t="s">
        <v>329</v>
      </c>
      <c r="C40" s="55" t="s">
        <v>302</v>
      </c>
      <c r="D40" s="55" t="s">
        <v>303</v>
      </c>
      <c r="E40" s="54" t="s">
        <v>330</v>
      </c>
      <c r="F40" s="54" t="s">
        <v>331</v>
      </c>
      <c r="G40" s="54" t="s">
        <v>332</v>
      </c>
      <c r="H40" s="54" t="s">
        <v>333</v>
      </c>
    </row>
    <row r="41" spans="1:8" ht="48" customHeight="1">
      <c r="A41" s="51" t="s">
        <v>334</v>
      </c>
      <c r="B41" s="48" t="s">
        <v>62</v>
      </c>
      <c r="C41" s="52" t="s">
        <v>250</v>
      </c>
      <c r="D41" s="52" t="s">
        <v>251</v>
      </c>
      <c r="E41" s="48" t="s">
        <v>335</v>
      </c>
      <c r="F41" s="48" t="s">
        <v>336</v>
      </c>
      <c r="G41" s="48" t="s">
        <v>337</v>
      </c>
      <c r="H41" s="48" t="s">
        <v>338</v>
      </c>
    </row>
    <row r="42" spans="1:8" ht="48" customHeight="1">
      <c r="A42" s="51" t="s">
        <v>339</v>
      </c>
      <c r="B42" s="48" t="s">
        <v>63</v>
      </c>
      <c r="C42" s="52" t="s">
        <v>257</v>
      </c>
      <c r="D42" s="52" t="s">
        <v>251</v>
      </c>
      <c r="E42" s="48" t="s">
        <v>340</v>
      </c>
      <c r="F42" s="48" t="s">
        <v>106</v>
      </c>
      <c r="G42" s="48" t="s">
        <v>341</v>
      </c>
      <c r="H42" s="48" t="s">
        <v>342</v>
      </c>
    </row>
    <row r="43" spans="1:8" ht="48" customHeight="1">
      <c r="A43" s="51" t="s">
        <v>343</v>
      </c>
      <c r="B43" s="48" t="s">
        <v>64</v>
      </c>
      <c r="C43" s="52" t="s">
        <v>250</v>
      </c>
      <c r="D43" s="52" t="s">
        <v>251</v>
      </c>
      <c r="E43" s="48" t="s">
        <v>344</v>
      </c>
      <c r="F43" s="48" t="s">
        <v>345</v>
      </c>
      <c r="G43" s="48" t="s">
        <v>346</v>
      </c>
      <c r="H43" s="48" t="s">
        <v>347</v>
      </c>
    </row>
    <row r="44" spans="1:8" ht="48" customHeight="1">
      <c r="A44" s="51" t="s">
        <v>348</v>
      </c>
      <c r="B44" s="48" t="s">
        <v>65</v>
      </c>
      <c r="C44" s="52" t="s">
        <v>349</v>
      </c>
      <c r="D44" s="52" t="s">
        <v>251</v>
      </c>
      <c r="E44" s="48" t="s">
        <v>350</v>
      </c>
      <c r="F44" s="48" t="s">
        <v>351</v>
      </c>
      <c r="G44" s="48" t="s">
        <v>352</v>
      </c>
      <c r="H44" s="48" t="s">
        <v>353</v>
      </c>
    </row>
    <row r="45" spans="1:8" ht="48" customHeight="1">
      <c r="A45" s="51" t="s">
        <v>354</v>
      </c>
      <c r="B45" s="48" t="s">
        <v>66</v>
      </c>
      <c r="C45" s="52" t="s">
        <v>250</v>
      </c>
      <c r="D45" s="52" t="s">
        <v>251</v>
      </c>
      <c r="E45" s="48" t="s">
        <v>355</v>
      </c>
      <c r="F45" s="48" t="s">
        <v>356</v>
      </c>
      <c r="G45" s="48" t="s">
        <v>357</v>
      </c>
      <c r="H45" s="48" t="s">
        <v>358</v>
      </c>
    </row>
    <row r="46" spans="1:8" ht="48" customHeight="1">
      <c r="A46" s="51" t="s">
        <v>359</v>
      </c>
      <c r="B46" s="48" t="s">
        <v>67</v>
      </c>
      <c r="C46" s="52" t="s">
        <v>250</v>
      </c>
      <c r="D46" s="52" t="s">
        <v>251</v>
      </c>
      <c r="E46" s="48" t="s">
        <v>360</v>
      </c>
      <c r="F46" s="48" t="s">
        <v>361</v>
      </c>
      <c r="G46" s="48" t="s">
        <v>362</v>
      </c>
      <c r="H46" s="48" t="s">
        <v>363</v>
      </c>
    </row>
    <row r="47" spans="1:8" ht="48" customHeight="1">
      <c r="A47" s="51" t="s">
        <v>364</v>
      </c>
      <c r="B47" s="48" t="s">
        <v>68</v>
      </c>
      <c r="C47" s="52" t="s">
        <v>290</v>
      </c>
      <c r="D47" s="52" t="s">
        <v>251</v>
      </c>
      <c r="E47" s="48" t="s">
        <v>365</v>
      </c>
      <c r="F47" s="48" t="s">
        <v>366</v>
      </c>
      <c r="G47" s="48" t="s">
        <v>367</v>
      </c>
      <c r="H47" s="48" t="s">
        <v>368</v>
      </c>
    </row>
    <row r="48" spans="1:8" ht="48" customHeight="1">
      <c r="A48" s="51" t="s">
        <v>369</v>
      </c>
      <c r="B48" s="48" t="s">
        <v>69</v>
      </c>
      <c r="C48" s="52" t="s">
        <v>257</v>
      </c>
      <c r="D48" s="52" t="s">
        <v>251</v>
      </c>
      <c r="E48" s="48" t="s">
        <v>370</v>
      </c>
      <c r="F48" s="48" t="s">
        <v>79</v>
      </c>
      <c r="G48" s="48" t="s">
        <v>371</v>
      </c>
      <c r="H48" s="48" t="s">
        <v>372</v>
      </c>
    </row>
    <row r="49" spans="1:8">
      <c r="A49" s="47"/>
      <c r="B49" s="47"/>
      <c r="C49" s="47"/>
      <c r="D49" s="47"/>
      <c r="E49" s="47"/>
      <c r="F49" s="47"/>
      <c r="G49" s="47"/>
      <c r="H49" s="47"/>
    </row>
    <row r="50" spans="1:8">
      <c r="A50" s="80" t="s">
        <v>373</v>
      </c>
      <c r="B50" s="80"/>
      <c r="C50" s="80"/>
      <c r="D50" s="80"/>
      <c r="E50" s="80"/>
      <c r="F50" s="80"/>
      <c r="G50" s="80"/>
      <c r="H50" s="80"/>
    </row>
    <row r="51" spans="1:8" ht="48">
      <c r="A51" s="56" t="s">
        <v>374</v>
      </c>
      <c r="B51" s="48" t="s">
        <v>375</v>
      </c>
      <c r="C51" s="47"/>
      <c r="D51" s="47"/>
      <c r="E51" s="47"/>
      <c r="F51" s="47"/>
      <c r="G51" s="47"/>
      <c r="H51" s="47"/>
    </row>
    <row r="52" spans="1:8" ht="48">
      <c r="A52" s="56" t="s">
        <v>376</v>
      </c>
      <c r="B52" s="48" t="s">
        <v>377</v>
      </c>
      <c r="C52" s="47"/>
      <c r="D52" s="47"/>
      <c r="E52" s="47"/>
      <c r="F52" s="47"/>
      <c r="G52" s="47"/>
      <c r="H52" s="47"/>
    </row>
    <row r="53" spans="1:8" ht="36">
      <c r="A53" s="56" t="s">
        <v>378</v>
      </c>
      <c r="B53" s="48" t="s">
        <v>379</v>
      </c>
      <c r="C53" s="47"/>
      <c r="D53" s="47"/>
      <c r="E53" s="47"/>
      <c r="F53" s="47"/>
      <c r="G53" s="47"/>
      <c r="H53" s="47"/>
    </row>
    <row r="54" spans="1:8" ht="36">
      <c r="A54" s="56" t="s">
        <v>380</v>
      </c>
      <c r="B54" s="48" t="s">
        <v>381</v>
      </c>
      <c r="C54" s="47"/>
      <c r="D54" s="47"/>
      <c r="E54" s="47"/>
      <c r="F54" s="47"/>
      <c r="G54" s="47"/>
      <c r="H54" s="47"/>
    </row>
    <row r="55" spans="1:8" ht="60">
      <c r="A55" s="56" t="s">
        <v>382</v>
      </c>
      <c r="B55" s="48" t="s">
        <v>383</v>
      </c>
      <c r="C55" s="47"/>
      <c r="D55" s="47"/>
      <c r="E55" s="47"/>
      <c r="F55" s="47"/>
      <c r="G55" s="47"/>
      <c r="H55" s="47"/>
    </row>
    <row r="56" spans="1:8">
      <c r="A56" s="47"/>
      <c r="B56" s="47"/>
      <c r="C56" s="47"/>
      <c r="D56" s="47"/>
      <c r="E56" s="47"/>
      <c r="F56" s="47"/>
      <c r="G56" s="47"/>
      <c r="H56" s="47"/>
    </row>
    <row r="57" spans="1:8">
      <c r="A57" s="81" t="s">
        <v>384</v>
      </c>
      <c r="B57" s="81"/>
      <c r="C57" s="81"/>
      <c r="D57" s="81"/>
      <c r="E57" s="81"/>
      <c r="F57" s="81"/>
      <c r="G57" s="81"/>
      <c r="H57" s="81"/>
    </row>
    <row r="58" spans="1:8">
      <c r="A58" s="57" t="s">
        <v>45</v>
      </c>
      <c r="B58" s="57" t="s">
        <v>51</v>
      </c>
      <c r="C58" s="57" t="s">
        <v>52</v>
      </c>
      <c r="D58" s="57" t="s">
        <v>55</v>
      </c>
      <c r="E58" s="57" t="s">
        <v>385</v>
      </c>
      <c r="F58" s="57" t="s">
        <v>5</v>
      </c>
      <c r="G58" s="47"/>
      <c r="H58" s="47"/>
    </row>
    <row r="59" spans="1:8" ht="24">
      <c r="A59" s="48" t="s">
        <v>70</v>
      </c>
      <c r="B59" s="48" t="s">
        <v>71</v>
      </c>
      <c r="C59" s="48"/>
      <c r="D59" s="48" t="s">
        <v>73</v>
      </c>
      <c r="E59" s="52" t="s">
        <v>386</v>
      </c>
      <c r="F59" s="48" t="s">
        <v>12</v>
      </c>
      <c r="G59" s="47"/>
      <c r="H59" s="47"/>
    </row>
    <row r="60" spans="1:8" ht="24">
      <c r="A60" s="48" t="s">
        <v>80</v>
      </c>
      <c r="B60" s="48" t="s">
        <v>81</v>
      </c>
      <c r="C60" s="48" t="s">
        <v>70</v>
      </c>
      <c r="D60" s="48" t="s">
        <v>387</v>
      </c>
      <c r="E60" s="52" t="s">
        <v>388</v>
      </c>
      <c r="F60" s="48" t="s">
        <v>19</v>
      </c>
      <c r="G60" s="47"/>
      <c r="H60" s="47"/>
    </row>
    <row r="61" spans="1:8" ht="24">
      <c r="A61" s="48" t="s">
        <v>87</v>
      </c>
      <c r="B61" s="48" t="s">
        <v>81</v>
      </c>
      <c r="C61" s="48" t="s">
        <v>70</v>
      </c>
      <c r="D61" s="48" t="s">
        <v>389</v>
      </c>
      <c r="E61" s="52" t="s">
        <v>388</v>
      </c>
      <c r="F61" s="48" t="s">
        <v>19</v>
      </c>
      <c r="G61" s="47"/>
      <c r="H61" s="47"/>
    </row>
    <row r="62" spans="1:8" ht="24">
      <c r="A62" s="48" t="s">
        <v>92</v>
      </c>
      <c r="B62" s="48" t="s">
        <v>81</v>
      </c>
      <c r="C62" s="48" t="s">
        <v>70</v>
      </c>
      <c r="D62" s="48" t="s">
        <v>93</v>
      </c>
      <c r="E62" s="52" t="s">
        <v>388</v>
      </c>
      <c r="F62" s="48" t="s">
        <v>12</v>
      </c>
      <c r="G62" s="47"/>
      <c r="H62" s="47"/>
    </row>
    <row r="63" spans="1:8">
      <c r="A63" s="48" t="s">
        <v>97</v>
      </c>
      <c r="B63" s="48" t="s">
        <v>81</v>
      </c>
      <c r="C63" s="48" t="s">
        <v>70</v>
      </c>
      <c r="D63" s="48" t="s">
        <v>390</v>
      </c>
      <c r="E63" s="52" t="s">
        <v>388</v>
      </c>
      <c r="F63" s="48" t="s">
        <v>9</v>
      </c>
      <c r="G63" s="47"/>
      <c r="H63" s="47"/>
    </row>
    <row r="64" spans="1:8" ht="24">
      <c r="A64" s="48" t="s">
        <v>101</v>
      </c>
      <c r="B64" s="48" t="s">
        <v>81</v>
      </c>
      <c r="C64" s="48" t="s">
        <v>70</v>
      </c>
      <c r="D64" s="48" t="s">
        <v>391</v>
      </c>
      <c r="E64" s="52" t="s">
        <v>388</v>
      </c>
      <c r="F64" s="48" t="s">
        <v>9</v>
      </c>
      <c r="G64" s="47"/>
      <c r="H64" s="47"/>
    </row>
    <row r="65" spans="1:8">
      <c r="A65" s="47"/>
      <c r="B65" s="47"/>
      <c r="C65" s="47"/>
      <c r="D65" s="47"/>
      <c r="E65" s="47"/>
      <c r="F65" s="47"/>
      <c r="G65" s="47"/>
      <c r="H65" s="47"/>
    </row>
    <row r="66" spans="1:8">
      <c r="A66" s="80" t="s">
        <v>392</v>
      </c>
      <c r="B66" s="80"/>
      <c r="C66" s="80"/>
      <c r="D66" s="80"/>
      <c r="E66" s="80"/>
      <c r="F66" s="80"/>
      <c r="G66" s="80"/>
      <c r="H66" s="80"/>
    </row>
    <row r="67" spans="1:8">
      <c r="A67" s="58" t="s">
        <v>39</v>
      </c>
      <c r="B67" s="47" t="s">
        <v>393</v>
      </c>
      <c r="C67" s="47" t="s">
        <v>394</v>
      </c>
      <c r="D67" s="47"/>
      <c r="E67" s="47"/>
      <c r="F67" s="47"/>
      <c r="G67" s="47"/>
      <c r="H67" s="47"/>
    </row>
    <row r="68" spans="1:8">
      <c r="A68" s="59" t="s">
        <v>36</v>
      </c>
      <c r="B68" s="47" t="s">
        <v>395</v>
      </c>
      <c r="C68" s="47" t="s">
        <v>396</v>
      </c>
      <c r="D68" s="47"/>
      <c r="E68" s="47"/>
      <c r="F68" s="47"/>
      <c r="G68" s="47"/>
      <c r="H68" s="47"/>
    </row>
    <row r="69" spans="1:8">
      <c r="A69" s="60" t="s">
        <v>33</v>
      </c>
      <c r="B69" s="47" t="s">
        <v>397</v>
      </c>
      <c r="C69" s="47" t="s">
        <v>398</v>
      </c>
      <c r="D69" s="47"/>
      <c r="E69" s="47"/>
      <c r="F69" s="47"/>
      <c r="G69" s="47"/>
      <c r="H69" s="47"/>
    </row>
    <row r="70" spans="1:8">
      <c r="A70" s="60" t="s">
        <v>23</v>
      </c>
      <c r="B70" s="47" t="s">
        <v>399</v>
      </c>
      <c r="C70" s="47" t="s">
        <v>400</v>
      </c>
      <c r="D70" s="47"/>
      <c r="E70" s="47"/>
      <c r="F70" s="47"/>
      <c r="G70" s="47"/>
      <c r="H70" s="47"/>
    </row>
    <row r="71" spans="1:8">
      <c r="A71" s="61" t="s">
        <v>18</v>
      </c>
      <c r="B71" s="47" t="s">
        <v>401</v>
      </c>
      <c r="C71" s="47" t="s">
        <v>402</v>
      </c>
      <c r="D71" s="47"/>
      <c r="E71" s="47"/>
      <c r="F71" s="47"/>
      <c r="G71" s="47"/>
      <c r="H71" s="47"/>
    </row>
    <row r="72" spans="1:8">
      <c r="A72" s="47"/>
      <c r="B72" s="47"/>
      <c r="C72" s="47"/>
      <c r="D72" s="47"/>
      <c r="E72" s="47"/>
      <c r="F72" s="47"/>
      <c r="G72" s="47"/>
      <c r="H72" s="47"/>
    </row>
    <row r="73" spans="1:8">
      <c r="A73" s="82" t="s">
        <v>403</v>
      </c>
      <c r="B73" s="82"/>
      <c r="C73" s="82"/>
      <c r="D73" s="82"/>
      <c r="E73" s="82"/>
      <c r="F73" s="82"/>
      <c r="G73" s="82"/>
      <c r="H73" s="82"/>
    </row>
    <row r="74" spans="1:8" ht="36">
      <c r="A74" s="62" t="s">
        <v>188</v>
      </c>
      <c r="B74" s="48" t="s">
        <v>404</v>
      </c>
      <c r="C74" s="48" t="s">
        <v>405</v>
      </c>
      <c r="D74" s="47"/>
      <c r="E74" s="47"/>
      <c r="F74" s="47"/>
      <c r="G74" s="47"/>
      <c r="H74" s="47"/>
    </row>
    <row r="75" spans="1:8" ht="48">
      <c r="A75" s="62" t="s">
        <v>190</v>
      </c>
      <c r="B75" s="48" t="s">
        <v>406</v>
      </c>
      <c r="C75" s="48" t="s">
        <v>407</v>
      </c>
      <c r="D75" s="47"/>
      <c r="E75" s="47"/>
      <c r="F75" s="47"/>
      <c r="G75" s="47"/>
      <c r="H75" s="47"/>
    </row>
    <row r="76" spans="1:8" ht="24">
      <c r="A76" s="62" t="s">
        <v>192</v>
      </c>
      <c r="B76" s="48" t="s">
        <v>408</v>
      </c>
      <c r="C76" s="48" t="s">
        <v>409</v>
      </c>
      <c r="D76" s="47"/>
      <c r="E76" s="47"/>
      <c r="F76" s="47"/>
      <c r="G76" s="47"/>
      <c r="H76" s="47"/>
    </row>
    <row r="77" spans="1:8" ht="48">
      <c r="A77" s="62" t="s">
        <v>194</v>
      </c>
      <c r="B77" s="48" t="s">
        <v>410</v>
      </c>
      <c r="C77" s="48" t="s">
        <v>411</v>
      </c>
      <c r="D77" s="47"/>
      <c r="E77" s="47"/>
      <c r="F77" s="47"/>
      <c r="G77" s="47"/>
      <c r="H77" s="47"/>
    </row>
    <row r="78" spans="1:8" ht="36">
      <c r="A78" s="62" t="s">
        <v>196</v>
      </c>
      <c r="B78" s="48" t="s">
        <v>412</v>
      </c>
      <c r="C78" s="48" t="s">
        <v>413</v>
      </c>
      <c r="D78" s="47"/>
      <c r="E78" s="47"/>
      <c r="F78" s="47"/>
      <c r="G78" s="47"/>
      <c r="H78" s="47"/>
    </row>
    <row r="79" spans="1:8" ht="60">
      <c r="A79" s="62" t="s">
        <v>198</v>
      </c>
      <c r="B79" s="48" t="s">
        <v>414</v>
      </c>
      <c r="C79" s="48" t="s">
        <v>415</v>
      </c>
      <c r="D79" s="47"/>
      <c r="E79" s="47"/>
      <c r="F79" s="47"/>
      <c r="G79" s="47"/>
      <c r="H79" s="47"/>
    </row>
    <row r="80" spans="1:8">
      <c r="A80" s="47"/>
      <c r="B80" s="47"/>
      <c r="C80" s="47"/>
      <c r="D80" s="47"/>
      <c r="E80" s="47"/>
      <c r="F80" s="47"/>
      <c r="G80" s="47"/>
      <c r="H80" s="47"/>
    </row>
    <row r="81" spans="1:8">
      <c r="A81" s="81" t="s">
        <v>416</v>
      </c>
      <c r="B81" s="81"/>
      <c r="C81" s="81"/>
      <c r="D81" s="81"/>
      <c r="E81" s="81"/>
      <c r="F81" s="81"/>
      <c r="G81" s="81"/>
      <c r="H81" s="81"/>
    </row>
    <row r="82" spans="1:8">
      <c r="A82" s="63" t="s">
        <v>188</v>
      </c>
      <c r="B82" s="48" t="s">
        <v>417</v>
      </c>
      <c r="C82" s="47"/>
      <c r="D82" s="47"/>
      <c r="E82" s="47"/>
      <c r="F82" s="47"/>
      <c r="G82" s="47"/>
      <c r="H82" s="47"/>
    </row>
    <row r="83" spans="1:8" ht="48">
      <c r="A83" s="63" t="s">
        <v>190</v>
      </c>
      <c r="B83" s="48" t="s">
        <v>418</v>
      </c>
      <c r="C83" s="47"/>
      <c r="D83" s="47"/>
      <c r="E83" s="47"/>
      <c r="F83" s="47"/>
      <c r="G83" s="47"/>
      <c r="H83" s="47"/>
    </row>
    <row r="84" spans="1:8" ht="36">
      <c r="A84" s="63" t="s">
        <v>192</v>
      </c>
      <c r="B84" s="48" t="s">
        <v>419</v>
      </c>
      <c r="C84" s="47"/>
      <c r="D84" s="47"/>
      <c r="E84" s="47"/>
      <c r="F84" s="47"/>
      <c r="G84" s="47"/>
      <c r="H84" s="47"/>
    </row>
    <row r="85" spans="1:8" ht="48">
      <c r="A85" s="63" t="s">
        <v>194</v>
      </c>
      <c r="B85" s="48" t="s">
        <v>420</v>
      </c>
      <c r="C85" s="47"/>
      <c r="D85" s="47"/>
      <c r="E85" s="47"/>
      <c r="F85" s="47"/>
      <c r="G85" s="47"/>
      <c r="H85" s="47"/>
    </row>
    <row r="86" spans="1:8" ht="48">
      <c r="A86" s="63" t="s">
        <v>196</v>
      </c>
      <c r="B86" s="48" t="s">
        <v>421</v>
      </c>
      <c r="C86" s="47"/>
      <c r="D86" s="47"/>
      <c r="E86" s="47"/>
      <c r="F86" s="47"/>
      <c r="G86" s="47"/>
      <c r="H86" s="47"/>
    </row>
    <row r="87" spans="1:8">
      <c r="A87" s="47"/>
      <c r="B87" s="47"/>
      <c r="C87" s="47"/>
      <c r="D87" s="47"/>
      <c r="E87" s="47"/>
      <c r="F87" s="47"/>
      <c r="G87" s="47"/>
      <c r="H87" s="47"/>
    </row>
    <row r="88" spans="1:8">
      <c r="A88" s="80" t="s">
        <v>422</v>
      </c>
      <c r="B88" s="80"/>
      <c r="C88" s="80"/>
      <c r="D88" s="80"/>
      <c r="E88" s="80"/>
      <c r="F88" s="80"/>
      <c r="G88" s="80"/>
      <c r="H88" s="80"/>
    </row>
    <row r="89" spans="1:8" ht="24">
      <c r="A89" s="64" t="s">
        <v>423</v>
      </c>
      <c r="B89" s="48" t="s">
        <v>424</v>
      </c>
      <c r="C89" s="47"/>
      <c r="D89" s="47"/>
      <c r="E89" s="47"/>
      <c r="F89" s="47"/>
      <c r="G89" s="47"/>
      <c r="H89" s="47"/>
    </row>
    <row r="90" spans="1:8" ht="36">
      <c r="A90" s="64" t="s">
        <v>423</v>
      </c>
      <c r="B90" s="48" t="s">
        <v>425</v>
      </c>
      <c r="C90" s="47"/>
      <c r="D90" s="47"/>
      <c r="E90" s="47"/>
      <c r="F90" s="47"/>
      <c r="G90" s="47"/>
      <c r="H90" s="47"/>
    </row>
    <row r="91" spans="1:8" ht="24">
      <c r="A91" s="64" t="s">
        <v>423</v>
      </c>
      <c r="B91" s="48" t="s">
        <v>426</v>
      </c>
      <c r="C91" s="47"/>
      <c r="D91" s="47"/>
      <c r="E91" s="47"/>
      <c r="F91" s="47"/>
      <c r="G91" s="47"/>
      <c r="H91" s="47"/>
    </row>
    <row r="92" spans="1:8" ht="24">
      <c r="A92" s="64" t="s">
        <v>423</v>
      </c>
      <c r="B92" s="48" t="s">
        <v>427</v>
      </c>
      <c r="C92" s="47"/>
      <c r="D92" s="47"/>
      <c r="E92" s="47"/>
      <c r="F92" s="47"/>
      <c r="G92" s="47"/>
      <c r="H92" s="47"/>
    </row>
    <row r="93" spans="1:8" ht="24">
      <c r="A93" s="64" t="s">
        <v>423</v>
      </c>
      <c r="B93" s="48" t="s">
        <v>428</v>
      </c>
      <c r="C93" s="47"/>
      <c r="D93" s="47"/>
      <c r="E93" s="47"/>
      <c r="F93" s="47"/>
      <c r="G93" s="47"/>
      <c r="H93" s="47"/>
    </row>
    <row r="94" spans="1:8" ht="36">
      <c r="A94" s="64" t="s">
        <v>423</v>
      </c>
      <c r="B94" s="48" t="s">
        <v>429</v>
      </c>
      <c r="C94" s="47"/>
      <c r="D94" s="47"/>
      <c r="E94" s="47"/>
      <c r="F94" s="47"/>
      <c r="G94" s="47"/>
      <c r="H94" s="47"/>
    </row>
    <row r="95" spans="1:8" ht="24">
      <c r="A95" s="65" t="s">
        <v>423</v>
      </c>
      <c r="B95" s="66" t="s">
        <v>430</v>
      </c>
      <c r="C95" s="67"/>
      <c r="D95" s="67"/>
      <c r="E95" s="67"/>
      <c r="F95" s="67"/>
      <c r="G95" s="67"/>
      <c r="H95" s="67"/>
    </row>
  </sheetData>
  <mergeCells count="11">
    <mergeCell ref="A88:H88"/>
    <mergeCell ref="A50:H50"/>
    <mergeCell ref="A57:H57"/>
    <mergeCell ref="A66:H66"/>
    <mergeCell ref="A73:H73"/>
    <mergeCell ref="A81:H81"/>
    <mergeCell ref="A1:H2"/>
    <mergeCell ref="A3:H3"/>
    <mergeCell ref="A5:H5"/>
    <mergeCell ref="A12:H12"/>
    <mergeCell ref="A22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Dashboard</vt:lpstr>
      <vt:lpstr>Plan de Tareas</vt:lpstr>
      <vt:lpstr>Carta Gantt</vt:lpstr>
      <vt:lpstr>Configuracion</vt:lpstr>
      <vt:lpstr>Guia de Uso</vt:lpstr>
      <vt:lpstr>Procedimiento de Llenado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Nicolás Arias Sánchez</dc:creator>
  <cp:lastModifiedBy>Oscar Nicolás Arias Sánchez</cp:lastModifiedBy>
  <dcterms:created xsi:type="dcterms:W3CDTF">2026-10-26T18:42:09Z</dcterms:created>
  <dcterms:modified xsi:type="dcterms:W3CDTF">2026-10-26T19:07:21Z</dcterms:modified>
</cp:coreProperties>
</file>